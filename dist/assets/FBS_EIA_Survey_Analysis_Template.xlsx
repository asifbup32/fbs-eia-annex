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56db77324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dd4a6952e148b6"/>
    <x:sheet xmlns:r="http://schemas.openxmlformats.org/officeDocument/2006/relationships" name="Responses" sheetId="2" r:id="R1c7707a821f846cf"/>
    <x:sheet xmlns:r="http://schemas.openxmlformats.org/officeDocument/2006/relationships" name="Codebook" sheetId="3" r:id="Rf0fb3f2813de4e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7"/>
      <x:color rgb="FF182C45"/>
      <x:name val="Aptos"/>
    </x:font>
    <x:font>
      <x:b/>
      <x:sz val="10"/>
      <x:color rgb="FF9C3A21"/>
      <x:name val="Aptos"/>
    </x:font>
    <x:font>
      <x:b/>
      <x:sz val="10"/>
      <x:color rgb="FFFFFFFF"/>
      <x:name val="Aptos"/>
    </x:font>
    <x:font>
      <x:sz val="10"/>
      <x:color rgb="FF202B38"/>
      <x:name val="Aptos"/>
    </x:font>
    <x:font>
      <x:sz val="10"/>
      <x:color rgb="FF26384A"/>
      <x:name val="Aptos"/>
    </x:font>
    <x:font>
      <x:b/>
      <x:sz val="11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562"/>
      </x:patternFill>
    </x:fill>
    <x:fill>
      <x:patternFill patternType="solid">
        <x:fgColor rgb="FFFFF5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6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0e5cd6a1444a1d" /><Relationship Type="http://schemas.openxmlformats.org/officeDocument/2006/relationships/theme" Target="/xl/theme/theme1.xml" Id="R7ea348bf2a6a42c9" /><Relationship Type="http://schemas.openxmlformats.org/officeDocument/2006/relationships/sharedStrings" Target="/xl/sharedStrings.xml" Id="R0fc5e674df4a4ace" /><Relationship Type="http://schemas.openxmlformats.org/officeDocument/2006/relationships/worksheet" Target="/xl/worksheets/sheet1.xml" Id="R57dd4a6952e148b6" /><Relationship Type="http://schemas.openxmlformats.org/officeDocument/2006/relationships/worksheet" Target="/xl/worksheets/sheet2.xml" Id="R1c7707a821f846cf" /><Relationship Type="http://schemas.openxmlformats.org/officeDocument/2006/relationships/worksheet" Target="/xl/worksheets/sheet3.xml" Id="Rf0fb3f2813de4e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413f0004d4046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Washroom ratings (synthetic examples)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Practice n</c:v>
          </c:tx>
          <c:cat>
            <c:strRef>
              <c:f>'Summary'!$H$11:$H$15</c:f>
              <c:strCache>
                <c:ptCount val="0"/>
              </c:strCache>
            </c:strRef>
          </c:cat>
          <c:val>
            <c:numRef>
              <c:f>'Summary'!$I$11:$I$15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18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13f0004d4046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46c44705fa0431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70" hidden="0" customWidth="1"/>
    <x:col min="2" max="2" width="19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8" max="8" width="70" hidden="0" customWidth="1"/>
    <x:col min="9" max="9" width="18" hidden="0" customWidth="1"/>
  </x:cols>
  <x:sheetData>
    <x:row r="2">
      <x:c r="A2" s="2" t="str">
        <x:v>FBS EIA questionnaire analysis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3" t="str">
        <x:v>Synthetic practice data are not respondent evidence. Enter collected questionnaires as Actual in Responses.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5">
      <x:c r="A5" s="5" t="str">
        <x:v>Dataset</x:v>
      </x:c>
      <x:c r="B5" s="5" t="str">
        <x:v>Count</x:v>
      </x:c>
      <x:c r="C5" s="5" t="str">
        <x:v>Reporting use</x:v>
      </x:c>
      <x:c r="D5" s="5" t="str">
        <x:v>Source</x:v>
      </x:c>
    </x:row>
    <x:row r="6">
      <x:c r="A6" t="str">
        <x:v>Actual</x:v>
      </x:c>
      <x:c r="B6" t="n">
        <x:f>COUNTIF(Responses!$B$6:$B$105,"Actual")</x:f>
        <x:v>0</x:v>
      </x:c>
      <x:c r="C6" t="str">
        <x:v>Use only after entering real responses</x:v>
      </x:c>
      <x:c r="D6" t="str">
        <x:v>Collected forms</x:v>
      </x:c>
    </x:row>
    <x:row r="7">
      <x:c r="A7" t="str">
        <x:v>Practice</x:v>
      </x:c>
      <x:c r="B7" t="n">
        <x:f>COUNTIF(Responses!$B$6:$B$105,"Synthetic")</x:f>
        <x:v>22</x:v>
      </x:c>
      <x:c r="C7" t="str">
        <x:v>Illustration only</x:v>
      </x:c>
      <x:c r="D7" t="str">
        <x:v>22 simulated questionnaires</x:v>
      </x:c>
    </x:row>
    <x:row r="10" ht="23" customHeight="1">
      <x:c r="A10" s="5" t="str">
        <x:v>Question</x:v>
      </x:c>
      <x:c r="B10" s="5" t="str">
        <x:v>Response</x:v>
      </x:c>
      <x:c r="C10" s="5" t="str">
        <x:v>Actual n</x:v>
      </x:c>
      <x:c r="D10" s="5" t="str">
        <x:v>Actual %</x:v>
      </x:c>
      <x:c r="E10" s="5" t="str">
        <x:v>Practice n</x:v>
      </x:c>
      <x:c r="F10" s="5" t="str">
        <x:v>Practice %</x:v>
      </x:c>
      <x:c r="H10" s="5" t="str">
        <x:v>Washroom condition</x:v>
      </x:c>
      <x:c r="I10" s="5" t="str">
        <x:v>Practice n</x:v>
      </x:c>
    </x:row>
    <x:row r="11" ht="23" customHeight="1">
      <x:c r="A11" s="6" t="str">
        <x:v>Q1  What is your role in/around the FBS Building?</x:v>
      </x:c>
      <x:c r="B11" s="6" t="str">
        <x:v>Student</x:v>
      </x:c>
      <x:c r="C11" s="6" t="n">
        <x:f>COUNTIFS(Responses!$B$6:$B$105,"Actual",Responses!$C$6:$C$105,B11)</x:f>
        <x:v>0</x:v>
      </x:c>
      <x:c r="D11" s="7" t="str">
        <x:f>IF($B$6=0,"",C11/$B$6)</x:f>
      </x:c>
      <x:c r="E11" s="6" t="n">
        <x:f>COUNTIFS(Responses!$B$6:$B$105,"Synthetic",Responses!$C$6:$C$105,B11)</x:f>
        <x:v>12</x:v>
      </x:c>
      <x:c r="F11" s="7" t="n">
        <x:f>IF($B$7=0,"",E11/$B$7)</x:f>
        <x:v>0.5454545454545454</x:v>
      </x:c>
      <x:c r="H11" t="str">
        <x:v>Very good</x:v>
      </x:c>
      <x:c r="I11" t="n">
        <x:f>E70</x:f>
        <x:v>0</x:v>
      </x:c>
    </x:row>
    <x:row r="12" ht="23" customHeight="1">
      <x:c r="A12" s="6" t="str">
        <x:v>Q1  What is your role in/around the FBS Building?</x:v>
      </x:c>
      <x:c r="B12" s="6" t="str">
        <x:v>Faculty</x:v>
      </x:c>
      <x:c r="C12" s="6" t="n">
        <x:f>COUNTIFS(Responses!$B$6:$B$105,"Actual",Responses!$C$6:$C$105,B12)</x:f>
        <x:v>0</x:v>
      </x:c>
      <x:c r="D12" s="7" t="str">
        <x:f>IF($B$6=0,"",C12/$B$6)</x:f>
      </x:c>
      <x:c r="E12" s="6" t="n">
        <x:f>COUNTIFS(Responses!$B$6:$B$105,"Synthetic",Responses!$C$6:$C$105,B12)</x:f>
        <x:v>0</x:v>
      </x:c>
      <x:c r="F12" s="7" t="n">
        <x:f>IF($B$7=0,"",E12/$B$7)</x:f>
        <x:v>0</x:v>
      </x:c>
      <x:c r="H12" t="str">
        <x:v>Good</x:v>
      </x:c>
      <x:c r="I12" t="n">
        <x:f>E71</x:f>
        <x:v>0</x:v>
      </x:c>
    </x:row>
    <x:row r="13" ht="23" customHeight="1">
      <x:c r="A13" s="6" t="str">
        <x:v>Q1  What is your role in/around the FBS Building?</x:v>
      </x:c>
      <x:c r="B13" s="6" t="str">
        <x:v>Staff</x:v>
      </x:c>
      <x:c r="C13" s="6" t="n">
        <x:f>COUNTIFS(Responses!$B$6:$B$105,"Actual",Responses!$C$6:$C$105,B13)</x:f>
        <x:v>0</x:v>
      </x:c>
      <x:c r="D13" s="7" t="str">
        <x:f>IF($B$6=0,"",C13/$B$6)</x:f>
      </x:c>
      <x:c r="E13" s="6" t="n">
        <x:f>COUNTIFS(Responses!$B$6:$B$105,"Synthetic",Responses!$C$6:$C$105,B13)</x:f>
        <x:v>8</x:v>
      </x:c>
      <x:c r="F13" s="7" t="n">
        <x:f>IF($B$7=0,"",E13/$B$7)</x:f>
        <x:v>0.36363636363636365</x:v>
      </x:c>
      <x:c r="H13" t="str">
        <x:v>Average</x:v>
      </x:c>
      <x:c r="I13" t="n">
        <x:f>E72</x:f>
        <x:v>4</x:v>
      </x:c>
    </x:row>
    <x:row r="14" ht="23" customHeight="1">
      <x:c r="A14" s="6" t="str">
        <x:v>Q1  What is your role in/around the FBS Building?</x:v>
      </x:c>
      <x:c r="B14" s="6" t="str">
        <x:v>Visitor</x:v>
      </x:c>
      <x:c r="C14" s="6" t="n">
        <x:f>COUNTIFS(Responses!$B$6:$B$105,"Actual",Responses!$C$6:$C$105,B14)</x:f>
        <x:v>0</x:v>
      </x:c>
      <x:c r="D14" s="7" t="str">
        <x:f>IF($B$6=0,"",C14/$B$6)</x:f>
      </x:c>
      <x:c r="E14" s="6" t="n">
        <x:f>COUNTIFS(Responses!$B$6:$B$105,"Synthetic",Responses!$C$6:$C$105,B14)</x:f>
        <x:v>0</x:v>
      </x:c>
      <x:c r="F14" s="7" t="n">
        <x:f>IF($B$7=0,"",E14/$B$7)</x:f>
        <x:v>0</x:v>
      </x:c>
      <x:c r="H14" t="str">
        <x:v>Poor</x:v>
      </x:c>
      <x:c r="I14" t="n">
        <x:f>E73</x:f>
        <x:v>11</x:v>
      </x:c>
    </x:row>
    <x:row r="15" ht="23" customHeight="1">
      <x:c r="A15" s="6" t="str">
        <x:v>Q1  What is your role in/around the FBS Building?</x:v>
      </x:c>
      <x:c r="B15" s="6" t="str">
        <x:v>Maintenance</x:v>
      </x:c>
      <x:c r="C15" s="6" t="n">
        <x:f>COUNTIFS(Responses!$B$6:$B$105,"Actual",Responses!$C$6:$C$105,B15)</x:f>
        <x:v>0</x:v>
      </x:c>
      <x:c r="D15" s="7" t="str">
        <x:f>IF($B$6=0,"",C15/$B$6)</x:f>
      </x:c>
      <x:c r="E15" s="6" t="n">
        <x:f>COUNTIFS(Responses!$B$6:$B$105,"Synthetic",Responses!$C$6:$C$105,B15)</x:f>
        <x:v>2</x:v>
      </x:c>
      <x:c r="F15" s="7" t="n">
        <x:f>IF($B$7=0,"",E15/$B$7)</x:f>
        <x:v>0.09090909090909091</x:v>
      </x:c>
      <x:c r="H15" t="str">
        <x:v>Very poor</x:v>
      </x:c>
      <x:c r="I15" t="n">
        <x:f>E74</x:f>
        <x:v>7</x:v>
      </x:c>
    </x:row>
    <x:row r="16" ht="23" customHeight="1">
      <x:c r="A16" s="6" t="str">
        <x:v>Q1  What is your role in/around the FBS Building?</x:v>
      </x:c>
      <x:c r="B16" s="6" t="str">
        <x:v>Other</x:v>
      </x:c>
      <x:c r="C16" s="6" t="n">
        <x:f>COUNTIFS(Responses!$B$6:$B$105,"Actual",Responses!$C$6:$C$105,B16)</x:f>
        <x:v>0</x:v>
      </x:c>
      <x:c r="D16" s="7" t="str">
        <x:f>IF($B$6=0,"",C16/$B$6)</x:f>
      </x:c>
      <x:c r="E16" s="6" t="n">
        <x:f>COUNTIFS(Responses!$B$6:$B$105,"Synthetic",Responses!$C$6:$C$105,B16)</x:f>
        <x:v>0</x:v>
      </x:c>
      <x:c r="F16" s="7" t="n">
        <x:f>IF($B$7=0,"",E16/$B$7)</x:f>
        <x:v>0</x:v>
      </x:c>
    </x:row>
    <x:row r="17" ht="23" customHeight="1">
      <x:c r="A17" s="6" t="str">
        <x:v>Q2  How frequently do you use the FBS Building?</x:v>
      </x:c>
      <x:c r="B17" s="6" t="str">
        <x:v>Daily</x:v>
      </x:c>
      <x:c r="C17" s="6" t="n">
        <x:f>COUNTIFS(Responses!$B$6:$B$105,"Actual",Responses!$D$6:$D$105,B17)</x:f>
        <x:v>0</x:v>
      </x:c>
      <x:c r="D17" s="7" t="str">
        <x:f>IF($B$6=0,"",C17/$B$6)</x:f>
      </x:c>
      <x:c r="E17" s="6" t="n">
        <x:f>COUNTIFS(Responses!$B$6:$B$105,"Synthetic",Responses!$D$6:$D$105,B17)</x:f>
        <x:v>18</x:v>
      </x:c>
      <x:c r="F17" s="7" t="n">
        <x:f>IF($B$7=0,"",E17/$B$7)</x:f>
        <x:v>0.8181818181818182</x:v>
      </x:c>
    </x:row>
    <x:row r="18" ht="23" customHeight="1">
      <x:c r="A18" s="6" t="str">
        <x:v>Q2  How frequently do you use the FBS Building?</x:v>
      </x:c>
      <x:c r="B18" s="6" t="str">
        <x:v>Several times a week</x:v>
      </x:c>
      <x:c r="C18" s="6" t="n">
        <x:f>COUNTIFS(Responses!$B$6:$B$105,"Actual",Responses!$D$6:$D$105,B18)</x:f>
        <x:v>0</x:v>
      </x:c>
      <x:c r="D18" s="7" t="str">
        <x:f>IF($B$6=0,"",C18/$B$6)</x:f>
      </x:c>
      <x:c r="E18" s="6" t="n">
        <x:f>COUNTIFS(Responses!$B$6:$B$105,"Synthetic",Responses!$D$6:$D$105,B18)</x:f>
        <x:v>4</x:v>
      </x:c>
      <x:c r="F18" s="7" t="n">
        <x:f>IF($B$7=0,"",E18/$B$7)</x:f>
        <x:v>0.18181818181818182</x:v>
      </x:c>
    </x:row>
    <x:row r="19" ht="23" customHeight="1">
      <x:c r="A19" s="6" t="str">
        <x:v>Q2  How frequently do you use the FBS Building?</x:v>
      </x:c>
      <x:c r="B19" s="6" t="str">
        <x:v>Occasionally</x:v>
      </x:c>
      <x:c r="C19" s="6" t="n">
        <x:f>COUNTIFS(Responses!$B$6:$B$105,"Actual",Responses!$D$6:$D$105,B19)</x:f>
        <x:v>0</x:v>
      </x:c>
      <x:c r="D19" s="7" t="str">
        <x:f>IF($B$6=0,"",C19/$B$6)</x:f>
      </x:c>
      <x:c r="E19" s="6" t="n">
        <x:f>COUNTIFS(Responses!$B$6:$B$105,"Synthetic",Responses!$D$6:$D$105,B19)</x:f>
        <x:v>0</x:v>
      </x:c>
      <x:c r="F19" s="7" t="n">
        <x:f>IF($B$7=0,"",E19/$B$7)</x:f>
        <x:v>0</x:v>
      </x:c>
    </x:row>
    <x:row r="20" ht="23" customHeight="1">
      <x:c r="A20" s="6" t="str">
        <x:v>Q4  Which part of the building do you use most frequently?</x:v>
      </x:c>
      <x:c r="B20" s="6" t="str">
        <x:v>Classroom</x:v>
      </x:c>
      <x:c r="C20" s="6" t="n">
        <x:f>COUNTIFS(Responses!$B$6:$B$105,"Actual",Responses!$F$6:$F$105,B20)</x:f>
        <x:v>0</x:v>
      </x:c>
      <x:c r="D20" s="7" t="str">
        <x:f>IF($B$6=0,"",C20/$B$6)</x:f>
      </x:c>
      <x:c r="E20" s="6" t="n">
        <x:f>COUNTIFS(Responses!$B$6:$B$105,"Synthetic",Responses!$F$6:$F$105,B20)</x:f>
        <x:v>8</x:v>
      </x:c>
      <x:c r="F20" s="7" t="n">
        <x:f>IF($B$7=0,"",E20/$B$7)</x:f>
        <x:v>0.36363636363636365</x:v>
      </x:c>
    </x:row>
    <x:row r="21" ht="23" customHeight="1">
      <x:c r="A21" s="6" t="str">
        <x:v>Q4  Which part of the building do you use most frequently?</x:v>
      </x:c>
      <x:c r="B21" s="6" t="str">
        <x:v>Office</x:v>
      </x:c>
      <x:c r="C21" s="6" t="n">
        <x:f>COUNTIFS(Responses!$B$6:$B$105,"Actual",Responses!$F$6:$F$105,B21)</x:f>
        <x:v>0</x:v>
      </x:c>
      <x:c r="D21" s="7" t="str">
        <x:f>IF($B$6=0,"",C21/$B$6)</x:f>
      </x:c>
      <x:c r="E21" s="6" t="n">
        <x:f>COUNTIFS(Responses!$B$6:$B$105,"Synthetic",Responses!$F$6:$F$105,B21)</x:f>
        <x:v>8</x:v>
      </x:c>
      <x:c r="F21" s="7" t="n">
        <x:f>IF($B$7=0,"",E21/$B$7)</x:f>
        <x:v>0.36363636363636365</x:v>
      </x:c>
    </x:row>
    <x:row r="22" ht="23" customHeight="1">
      <x:c r="A22" s="6" t="str">
        <x:v>Q4  Which part of the building do you use most frequently?</x:v>
      </x:c>
      <x:c r="B22" s="6" t="str">
        <x:v>Laboratory</x:v>
      </x:c>
      <x:c r="C22" s="6" t="n">
        <x:f>COUNTIFS(Responses!$B$6:$B$105,"Actual",Responses!$F$6:$F$105,B22)</x:f>
        <x:v>0</x:v>
      </x:c>
      <x:c r="D22" s="7" t="str">
        <x:f>IF($B$6=0,"",C22/$B$6)</x:f>
      </x:c>
      <x:c r="E22" s="6" t="n">
        <x:f>COUNTIFS(Responses!$B$6:$B$105,"Synthetic",Responses!$F$6:$F$105,B22)</x:f>
        <x:v>0</x:v>
      </x:c>
      <x:c r="F22" s="7" t="n">
        <x:f>IF($B$7=0,"",E22/$B$7)</x:f>
        <x:v>0</x:v>
      </x:c>
    </x:row>
    <x:row r="23" ht="23" customHeight="1">
      <x:c r="A23" s="6" t="str">
        <x:v>Q4  Which part of the building do you use most frequently?</x:v>
      </x:c>
      <x:c r="B23" s="6" t="str">
        <x:v>Corridor</x:v>
      </x:c>
      <x:c r="C23" s="6" t="n">
        <x:f>COUNTIFS(Responses!$B$6:$B$105,"Actual",Responses!$F$6:$F$105,B23)</x:f>
        <x:v>0</x:v>
      </x:c>
      <x:c r="D23" s="7" t="str">
        <x:f>IF($B$6=0,"",C23/$B$6)</x:f>
      </x:c>
      <x:c r="E23" s="6" t="n">
        <x:f>COUNTIFS(Responses!$B$6:$B$105,"Synthetic",Responses!$F$6:$F$105,B23)</x:f>
        <x:v>4</x:v>
      </x:c>
      <x:c r="F23" s="7" t="n">
        <x:f>IF($B$7=0,"",E23/$B$7)</x:f>
        <x:v>0.18181818181818182</x:v>
      </x:c>
    </x:row>
    <x:row r="24" ht="23" customHeight="1">
      <x:c r="A24" s="6" t="str">
        <x:v>Q4  Which part of the building do you use most frequently?</x:v>
      </x:c>
      <x:c r="B24" s="6" t="str">
        <x:v>Cafeteria</x:v>
      </x:c>
      <x:c r="C24" s="6" t="n">
        <x:f>COUNTIFS(Responses!$B$6:$B$105,"Actual",Responses!$F$6:$F$105,B24)</x:f>
        <x:v>0</x:v>
      </x:c>
      <x:c r="D24" s="7" t="str">
        <x:f>IF($B$6=0,"",C24/$B$6)</x:f>
      </x:c>
      <x:c r="E24" s="6" t="n">
        <x:f>COUNTIFS(Responses!$B$6:$B$105,"Synthetic",Responses!$F$6:$F$105,B24)</x:f>
        <x:v>2</x:v>
      </x:c>
      <x:c r="F24" s="7" t="n">
        <x:f>IF($B$7=0,"",E24/$B$7)</x:f>
        <x:v>0.09090909090909091</x:v>
      </x:c>
    </x:row>
    <x:row r="25" ht="23" customHeight="1">
      <x:c r="A25" s="6" t="str">
        <x:v>Q4  Which part of the building do you use most frequently?</x:v>
      </x:c>
      <x:c r="B25" s="6" t="str">
        <x:v>Other</x:v>
      </x:c>
      <x:c r="C25" s="6" t="n">
        <x:f>COUNTIFS(Responses!$B$6:$B$105,"Actual",Responses!$F$6:$F$105,B25)</x:f>
        <x:v>0</x:v>
      </x:c>
      <x:c r="D25" s="7" t="str">
        <x:f>IF($B$6=0,"",C25/$B$6)</x:f>
      </x:c>
      <x:c r="E25" s="6" t="n">
        <x:f>COUNTIFS(Responses!$B$6:$B$105,"Synthetic",Responses!$F$6:$F$105,B25)</x:f>
        <x:v>0</x:v>
      </x:c>
      <x:c r="F25" s="7" t="n">
        <x:f>IF($B$7=0,"",E25/$B$7)</x:f>
        <x:v>0</x:v>
      </x:c>
    </x:row>
    <x:row r="26" ht="23" customHeight="1">
      <x:c r="A26" s="6" t="str">
        <x:v>Q5  How would you rate the ventilation and air circulation inside the building?</x:v>
      </x:c>
      <x:c r="B26" s="6" t="str">
        <x:v>Very good</x:v>
      </x:c>
      <x:c r="C26" s="6" t="n">
        <x:f>COUNTIFS(Responses!$B$6:$B$105,"Actual",Responses!$G$6:$G$105,B26)</x:f>
        <x:v>0</x:v>
      </x:c>
      <x:c r="D26" s="7" t="str">
        <x:f>IF($B$6=0,"",C26/$B$6)</x:f>
      </x:c>
      <x:c r="E26" s="6" t="n">
        <x:f>COUNTIFS(Responses!$B$6:$B$105,"Synthetic",Responses!$G$6:$G$105,B26)</x:f>
        <x:v>0</x:v>
      </x:c>
      <x:c r="F26" s="7" t="n">
        <x:f>IF($B$7=0,"",E26/$B$7)</x:f>
        <x:v>0</x:v>
      </x:c>
    </x:row>
    <x:row r="27" ht="23" customHeight="1">
      <x:c r="A27" s="6" t="str">
        <x:v>Q5  How would you rate the ventilation and air circulation inside the building?</x:v>
      </x:c>
      <x:c r="B27" s="6" t="str">
        <x:v>Good</x:v>
      </x:c>
      <x:c r="C27" s="6" t="n">
        <x:f>COUNTIFS(Responses!$B$6:$B$105,"Actual",Responses!$G$6:$G$105,B27)</x:f>
        <x:v>0</x:v>
      </x:c>
      <x:c r="D27" s="7" t="str">
        <x:f>IF($B$6=0,"",C27/$B$6)</x:f>
      </x:c>
      <x:c r="E27" s="6" t="n">
        <x:f>COUNTIFS(Responses!$B$6:$B$105,"Synthetic",Responses!$G$6:$G$105,B27)</x:f>
        <x:v>0</x:v>
      </x:c>
      <x:c r="F27" s="7" t="n">
        <x:f>IF($B$7=0,"",E27/$B$7)</x:f>
        <x:v>0</x:v>
      </x:c>
    </x:row>
    <x:row r="28" ht="23" customHeight="1">
      <x:c r="A28" s="6" t="str">
        <x:v>Q5  How would you rate the ventilation and air circulation inside the building?</x:v>
      </x:c>
      <x:c r="B28" s="6" t="str">
        <x:v>Average</x:v>
      </x:c>
      <x:c r="C28" s="6" t="n">
        <x:f>COUNTIFS(Responses!$B$6:$B$105,"Actual",Responses!$G$6:$G$105,B28)</x:f>
        <x:v>0</x:v>
      </x:c>
      <x:c r="D28" s="7" t="str">
        <x:f>IF($B$6=0,"",C28/$B$6)</x:f>
      </x:c>
      <x:c r="E28" s="6" t="n">
        <x:f>COUNTIFS(Responses!$B$6:$B$105,"Synthetic",Responses!$G$6:$G$105,B28)</x:f>
        <x:v>7</x:v>
      </x:c>
      <x:c r="F28" s="7" t="n">
        <x:f>IF($B$7=0,"",E28/$B$7)</x:f>
        <x:v>0.3181818181818182</x:v>
      </x:c>
    </x:row>
    <x:row r="29" ht="23" customHeight="1">
      <x:c r="A29" s="6" t="str">
        <x:v>Q5  How would you rate the ventilation and air circulation inside the building?</x:v>
      </x:c>
      <x:c r="B29" s="6" t="str">
        <x:v>Poor</x:v>
      </x:c>
      <x:c r="C29" s="6" t="n">
        <x:f>COUNTIFS(Responses!$B$6:$B$105,"Actual",Responses!$G$6:$G$105,B29)</x:f>
        <x:v>0</x:v>
      </x:c>
      <x:c r="D29" s="7" t="str">
        <x:f>IF($B$6=0,"",C29/$B$6)</x:f>
      </x:c>
      <x:c r="E29" s="6" t="n">
        <x:f>COUNTIFS(Responses!$B$6:$B$105,"Synthetic",Responses!$G$6:$G$105,B29)</x:f>
        <x:v>11</x:v>
      </x:c>
      <x:c r="F29" s="7" t="n">
        <x:f>IF($B$7=0,"",E29/$B$7)</x:f>
        <x:v>0.5</x:v>
      </x:c>
    </x:row>
    <x:row r="30" ht="23" customHeight="1">
      <x:c r="A30" s="6" t="str">
        <x:v>Q5  How would you rate the ventilation and air circulation inside the building?</x:v>
      </x:c>
      <x:c r="B30" s="6" t="str">
        <x:v>Very poor</x:v>
      </x:c>
      <x:c r="C30" s="6" t="n">
        <x:f>COUNTIFS(Responses!$B$6:$B$105,"Actual",Responses!$G$6:$G$105,B30)</x:f>
        <x:v>0</x:v>
      </x:c>
      <x:c r="D30" s="7" t="str">
        <x:f>IF($B$6=0,"",C30/$B$6)</x:f>
      </x:c>
      <x:c r="E30" s="6" t="n">
        <x:f>COUNTIFS(Responses!$B$6:$B$105,"Synthetic",Responses!$G$6:$G$105,B30)</x:f>
        <x:v>4</x:v>
      </x:c>
      <x:c r="F30" s="7" t="n">
        <x:f>IF($B$7=0,"",E30/$B$7)</x:f>
        <x:v>0.18181818181818182</x:v>
      </x:c>
    </x:row>
    <x:row r="31" ht="23" customHeight="1">
      <x:c r="A31" s="6" t="str">
        <x:v>Q7  How would you rate the indoor temperature/thermal comfort?</x:v>
      </x:c>
      <x:c r="B31" s="6" t="str">
        <x:v>Very good</x:v>
      </x:c>
      <x:c r="C31" s="6" t="n">
        <x:f>COUNTIFS(Responses!$B$6:$B$105,"Actual",Responses!$I$6:$I$105,B31)</x:f>
        <x:v>0</x:v>
      </x:c>
      <x:c r="D31" s="7" t="str">
        <x:f>IF($B$6=0,"",C31/$B$6)</x:f>
      </x:c>
      <x:c r="E31" s="6" t="n">
        <x:f>COUNTIFS(Responses!$B$6:$B$105,"Synthetic",Responses!$I$6:$I$105,B31)</x:f>
        <x:v>0</x:v>
      </x:c>
      <x:c r="F31" s="7" t="n">
        <x:f>IF($B$7=0,"",E31/$B$7)</x:f>
        <x:v>0</x:v>
      </x:c>
    </x:row>
    <x:row r="32" ht="23" customHeight="1">
      <x:c r="A32" s="6" t="str">
        <x:v>Q7  How would you rate the indoor temperature/thermal comfort?</x:v>
      </x:c>
      <x:c r="B32" s="6" t="str">
        <x:v>Good</x:v>
      </x:c>
      <x:c r="C32" s="6" t="n">
        <x:f>COUNTIFS(Responses!$B$6:$B$105,"Actual",Responses!$I$6:$I$105,B32)</x:f>
        <x:v>0</x:v>
      </x:c>
      <x:c r="D32" s="7" t="str">
        <x:f>IF($B$6=0,"",C32/$B$6)</x:f>
      </x:c>
      <x:c r="E32" s="6" t="n">
        <x:f>COUNTIFS(Responses!$B$6:$B$105,"Synthetic",Responses!$I$6:$I$105,B32)</x:f>
        <x:v>0</x:v>
      </x:c>
      <x:c r="F32" s="7" t="n">
        <x:f>IF($B$7=0,"",E32/$B$7)</x:f>
        <x:v>0</x:v>
      </x:c>
    </x:row>
    <x:row r="33" ht="23" customHeight="1">
      <x:c r="A33" s="6" t="str">
        <x:v>Q7  How would you rate the indoor temperature/thermal comfort?</x:v>
      </x:c>
      <x:c r="B33" s="6" t="str">
        <x:v>Average</x:v>
      </x:c>
      <x:c r="C33" s="6" t="n">
        <x:f>COUNTIFS(Responses!$B$6:$B$105,"Actual",Responses!$I$6:$I$105,B33)</x:f>
        <x:v>0</x:v>
      </x:c>
      <x:c r="D33" s="7" t="str">
        <x:f>IF($B$6=0,"",C33/$B$6)</x:f>
      </x:c>
      <x:c r="E33" s="6" t="n">
        <x:f>COUNTIFS(Responses!$B$6:$B$105,"Synthetic",Responses!$I$6:$I$105,B33)</x:f>
        <x:v>7</x:v>
      </x:c>
      <x:c r="F33" s="7" t="n">
        <x:f>IF($B$7=0,"",E33/$B$7)</x:f>
        <x:v>0.3181818181818182</x:v>
      </x:c>
    </x:row>
    <x:row r="34" ht="23" customHeight="1">
      <x:c r="A34" s="6" t="str">
        <x:v>Q7  How would you rate the indoor temperature/thermal comfort?</x:v>
      </x:c>
      <x:c r="B34" s="6" t="str">
        <x:v>Poor</x:v>
      </x:c>
      <x:c r="C34" s="6" t="n">
        <x:f>COUNTIFS(Responses!$B$6:$B$105,"Actual",Responses!$I$6:$I$105,B34)</x:f>
        <x:v>0</x:v>
      </x:c>
      <x:c r="D34" s="7" t="str">
        <x:f>IF($B$6=0,"",C34/$B$6)</x:f>
      </x:c>
      <x:c r="E34" s="6" t="n">
        <x:f>COUNTIFS(Responses!$B$6:$B$105,"Synthetic",Responses!$I$6:$I$105,B34)</x:f>
        <x:v>11</x:v>
      </x:c>
      <x:c r="F34" s="7" t="n">
        <x:f>IF($B$7=0,"",E34/$B$7)</x:f>
        <x:v>0.5</x:v>
      </x:c>
    </x:row>
    <x:row r="35" ht="23" customHeight="1">
      <x:c r="A35" s="6" t="str">
        <x:v>Q7  How would you rate the indoor temperature/thermal comfort?</x:v>
      </x:c>
      <x:c r="B35" s="6" t="str">
        <x:v>Very poor</x:v>
      </x:c>
      <x:c r="C35" s="6" t="n">
        <x:f>COUNTIFS(Responses!$B$6:$B$105,"Actual",Responses!$I$6:$I$105,B35)</x:f>
        <x:v>0</x:v>
      </x:c>
      <x:c r="D35" s="7" t="str">
        <x:f>IF($B$6=0,"",C35/$B$6)</x:f>
      </x:c>
      <x:c r="E35" s="6" t="n">
        <x:f>COUNTIFS(Responses!$B$6:$B$105,"Synthetic",Responses!$I$6:$I$105,B35)</x:f>
        <x:v>4</x:v>
      </x:c>
      <x:c r="F35" s="7" t="n">
        <x:f>IF($B$7=0,"",E35/$B$7)</x:f>
        <x:v>0.18181818181818182</x:v>
      </x:c>
    </x:row>
    <x:row r="36" ht="23" customHeight="1">
      <x:c r="A36" s="6" t="str">
        <x:v>Q8  How would you rate the natural lighting inside classrooms, offices, and common areas?</x:v>
      </x:c>
      <x:c r="B36" s="6" t="str">
        <x:v>Very good</x:v>
      </x:c>
      <x:c r="C36" s="6" t="n">
        <x:f>COUNTIFS(Responses!$B$6:$B$105,"Actual",Responses!$J$6:$J$105,B36)</x:f>
        <x:v>0</x:v>
      </x:c>
      <x:c r="D36" s="7" t="str">
        <x:f>IF($B$6=0,"",C36/$B$6)</x:f>
      </x:c>
      <x:c r="E36" s="6" t="n">
        <x:f>COUNTIFS(Responses!$B$6:$B$105,"Synthetic",Responses!$J$6:$J$105,B36)</x:f>
        <x:v>0</x:v>
      </x:c>
      <x:c r="F36" s="7" t="n">
        <x:f>IF($B$7=0,"",E36/$B$7)</x:f>
        <x:v>0</x:v>
      </x:c>
    </x:row>
    <x:row r="37" ht="23" customHeight="1">
      <x:c r="A37" s="6" t="str">
        <x:v>Q8  How would you rate the natural lighting inside classrooms, offices, and common areas?</x:v>
      </x:c>
      <x:c r="B37" s="6" t="str">
        <x:v>Good</x:v>
      </x:c>
      <x:c r="C37" s="6" t="n">
        <x:f>COUNTIFS(Responses!$B$6:$B$105,"Actual",Responses!$J$6:$J$105,B37)</x:f>
        <x:v>0</x:v>
      </x:c>
      <x:c r="D37" s="7" t="str">
        <x:f>IF($B$6=0,"",C37/$B$6)</x:f>
      </x:c>
      <x:c r="E37" s="6" t="n">
        <x:f>COUNTIFS(Responses!$B$6:$B$105,"Synthetic",Responses!$J$6:$J$105,B37)</x:f>
        <x:v>0</x:v>
      </x:c>
      <x:c r="F37" s="7" t="n">
        <x:f>IF($B$7=0,"",E37/$B$7)</x:f>
        <x:v>0</x:v>
      </x:c>
      <x:c r="H37" t="str">
        <x:v>Interpretation guide</x:v>
      </x:c>
    </x:row>
    <x:row r="38" ht="23" customHeight="1">
      <x:c r="A38" s="6" t="str">
        <x:v>Q8  How would you rate the natural lighting inside classrooms, offices, and common areas?</x:v>
      </x:c>
      <x:c r="B38" s="6" t="str">
        <x:v>Average</x:v>
      </x:c>
      <x:c r="C38" s="6" t="n">
        <x:f>COUNTIFS(Responses!$B$6:$B$105,"Actual",Responses!$J$6:$J$105,B38)</x:f>
        <x:v>0</x:v>
      </x:c>
      <x:c r="D38" s="7" t="str">
        <x:f>IF($B$6=0,"",C38/$B$6)</x:f>
      </x:c>
      <x:c r="E38" s="6" t="n">
        <x:f>COUNTIFS(Responses!$B$6:$B$105,"Synthetic",Responses!$J$6:$J$105,B38)</x:f>
        <x:v>7</x:v>
      </x:c>
      <x:c r="F38" s="7" t="n">
        <x:f>IF($B$7=0,"",E38/$B$7)</x:f>
        <x:v>0.3181818181818182</x:v>
      </x:c>
      <x:c r="H38" t="str">
        <x:v>For real responses: report n/N and %, name the question and denominator.</x:v>
      </x:c>
    </x:row>
    <x:row r="39" ht="23" customHeight="1">
      <x:c r="A39" s="6" t="str">
        <x:v>Q8  How would you rate the natural lighting inside classrooms, offices, and common areas?</x:v>
      </x:c>
      <x:c r="B39" s="6" t="str">
        <x:v>Poor</x:v>
      </x:c>
      <x:c r="C39" s="6" t="n">
        <x:f>COUNTIFS(Responses!$B$6:$B$105,"Actual",Responses!$J$6:$J$105,B39)</x:f>
        <x:v>0</x:v>
      </x:c>
      <x:c r="D39" s="7" t="str">
        <x:f>IF($B$6=0,"",C39/$B$6)</x:f>
      </x:c>
      <x:c r="E39" s="6" t="n">
        <x:f>COUNTIFS(Responses!$B$6:$B$105,"Synthetic",Responses!$J$6:$J$105,B39)</x:f>
        <x:v>11</x:v>
      </x:c>
      <x:c r="F39" s="7" t="n">
        <x:f>IF($B$7=0,"",E39/$B$7)</x:f>
        <x:v>0.5</x:v>
      </x:c>
      <x:c r="H39" t="str">
        <x:v>Example wording: “X of N respondents rated washroom condition Poor or Very poor (Y%).”</x:v>
      </x:c>
    </x:row>
    <x:row r="40" ht="23" customHeight="1">
      <x:c r="A40" s="6" t="str">
        <x:v>Q8  How would you rate the natural lighting inside classrooms, offices, and common areas?</x:v>
      </x:c>
      <x:c r="B40" s="6" t="str">
        <x:v>Very poor</x:v>
      </x:c>
      <x:c r="C40" s="6" t="n">
        <x:f>COUNTIFS(Responses!$B$6:$B$105,"Actual",Responses!$J$6:$J$105,B40)</x:f>
        <x:v>0</x:v>
      </x:c>
      <x:c r="D40" s="7" t="str">
        <x:f>IF($B$6=0,"",C40/$B$6)</x:f>
      </x:c>
      <x:c r="E40" s="6" t="n">
        <x:f>COUNTIFS(Responses!$B$6:$B$105,"Synthetic",Responses!$J$6:$J$105,B40)</x:f>
        <x:v>4</x:v>
      </x:c>
      <x:c r="F40" s="7" t="n">
        <x:f>IF($B$7=0,"",E40/$B$7)</x:f>
        <x:v>0.18181818181818182</x:v>
      </x:c>
      <x:c r="H40" t="str">
        <x:v>Do not describe the Practice column as measured survey findings.</x:v>
      </x:c>
    </x:row>
    <x:row r="41" ht="23" customHeight="1">
      <x:c r="A41" s="6" t="str">
        <x:v>Q9  Is artificial lighting adequate for normal activities?</x:v>
      </x:c>
      <x:c r="B41" s="6" t="str">
        <x:v>Yes</x:v>
      </x:c>
      <x:c r="C41" s="6" t="n">
        <x:f>COUNTIFS(Responses!$B$6:$B$105,"Actual",Responses!$K$6:$K$105,B41)</x:f>
        <x:v>0</x:v>
      </x:c>
      <x:c r="D41" s="7" t="str">
        <x:f>IF($B$6=0,"",C41/$B$6)</x:f>
      </x:c>
      <x:c r="E41" s="6" t="n">
        <x:f>COUNTIFS(Responses!$B$6:$B$105,"Synthetic",Responses!$K$6:$K$105,B41)</x:f>
        <x:v>11</x:v>
      </x:c>
      <x:c r="F41" s="7" t="n">
        <x:f>IF($B$7=0,"",E41/$B$7)</x:f>
        <x:v>0.5</x:v>
      </x:c>
      <x:c r="H41" t="str">
        <x:v>Do not average Yes/No/Somewhat with good/poor scales or treat nominal codes as measured quantities.</x:v>
      </x:c>
    </x:row>
    <x:row r="42" ht="23" customHeight="1">
      <x:c r="A42" s="6" t="str">
        <x:v>Q9  Is artificial lighting adequate for normal activities?</x:v>
      </x:c>
      <x:c r="B42" s="6" t="str">
        <x:v>No</x:v>
      </x:c>
      <x:c r="C42" s="6" t="n">
        <x:f>COUNTIFS(Responses!$B$6:$B$105,"Actual",Responses!$K$6:$K$105,B42)</x:f>
        <x:v>0</x:v>
      </x:c>
      <x:c r="D42" s="7" t="str">
        <x:f>IF($B$6=0,"",C42/$B$6)</x:f>
      </x:c>
      <x:c r="E42" s="6" t="n">
        <x:f>COUNTIFS(Responses!$B$6:$B$105,"Synthetic",Responses!$K$6:$K$105,B42)</x:f>
        <x:v>0</x:v>
      </x:c>
      <x:c r="F42" s="7" t="n">
        <x:f>IF($B$7=0,"",E42/$B$7)</x:f>
        <x:v>0</x:v>
      </x:c>
      <x:c r="H42" t="str">
        <x:v>A descriptive sample of 22 cannot establish causal impacts or represent all FBS users.</x:v>
      </x:c>
    </x:row>
    <x:row r="43" ht="23" customHeight="1">
      <x:c r="A43" s="6" t="str">
        <x:v>Q9  Is artificial lighting adequate for normal activities?</x:v>
      </x:c>
      <x:c r="B43" s="6" t="str">
        <x:v>Somewhat</x:v>
      </x:c>
      <x:c r="C43" s="6" t="n">
        <x:f>COUNTIFS(Responses!$B$6:$B$105,"Actual",Responses!$K$6:$K$105,B43)</x:f>
        <x:v>0</x:v>
      </x:c>
      <x:c r="D43" s="7" t="str">
        <x:f>IF($B$6=0,"",C43/$B$6)</x:f>
      </x:c>
      <x:c r="E43" s="6" t="n">
        <x:f>COUNTIFS(Responses!$B$6:$B$105,"Synthetic",Responses!$K$6:$K$105,B43)</x:f>
        <x:v>11</x:v>
      </x:c>
      <x:c r="F43" s="7" t="n">
        <x:f>IF($B$7=0,"",E43/$B$7)</x:f>
        <x:v>0.5</x:v>
      </x:c>
    </x:row>
    <x:row r="44" ht="23" customHeight="1">
      <x:c r="A44" s="6" t="str">
        <x:v>Q13  Are sufficient waste bins available in the building and its surrounding areas?</x:v>
      </x:c>
      <x:c r="B44" s="6" t="str">
        <x:v>Yes</x:v>
      </x:c>
      <x:c r="C44" s="6" t="n">
        <x:f>COUNTIFS(Responses!$B$6:$B$105,"Actual",Responses!$O$6:$O$105,B44)</x:f>
        <x:v>0</x:v>
      </x:c>
      <x:c r="D44" s="7" t="str">
        <x:f>IF($B$6=0,"",C44/$B$6)</x:f>
      </x:c>
      <x:c r="E44" s="6" t="n">
        <x:f>COUNTIFS(Responses!$B$6:$B$105,"Synthetic",Responses!$O$6:$O$105,B44)</x:f>
        <x:v>22</x:v>
      </x:c>
      <x:c r="F44" s="7" t="n">
        <x:f>IF($B$7=0,"",E44/$B$7)</x:f>
        <x:v>1</x:v>
      </x:c>
    </x:row>
    <x:row r="45" ht="23" customHeight="1">
      <x:c r="A45" s="6" t="str">
        <x:v>Q13  Are sufficient waste bins available in the building and its surrounding areas?</x:v>
      </x:c>
      <x:c r="B45" s="6" t="str">
        <x:v>No</x:v>
      </x:c>
      <x:c r="C45" s="6" t="n">
        <x:f>COUNTIFS(Responses!$B$6:$B$105,"Actual",Responses!$O$6:$O$105,B45)</x:f>
        <x:v>0</x:v>
      </x:c>
      <x:c r="D45" s="7" t="str">
        <x:f>IF($B$6=0,"",C45/$B$6)</x:f>
      </x:c>
      <x:c r="E45" s="6" t="n">
        <x:f>COUNTIFS(Responses!$B$6:$B$105,"Synthetic",Responses!$O$6:$O$105,B45)</x:f>
        <x:v>0</x:v>
      </x:c>
      <x:c r="F45" s="7" t="n">
        <x:f>IF($B$7=0,"",E45/$B$7)</x:f>
        <x:v>0</x:v>
      </x:c>
    </x:row>
    <x:row r="46" ht="23" customHeight="1">
      <x:c r="A46" s="6" t="str">
        <x:v>Q13  Are sufficient waste bins available in the building and its surrounding areas?</x:v>
      </x:c>
      <x:c r="B46" s="6" t="str">
        <x:v>Somewhat</x:v>
      </x:c>
      <x:c r="C46" s="6" t="n">
        <x:f>COUNTIFS(Responses!$B$6:$B$105,"Actual",Responses!$O$6:$O$105,B46)</x:f>
        <x:v>0</x:v>
      </x:c>
      <x:c r="D46" s="7" t="str">
        <x:f>IF($B$6=0,"",C46/$B$6)</x:f>
      </x:c>
      <x:c r="E46" s="6" t="n">
        <x:f>COUNTIFS(Responses!$B$6:$B$105,"Synthetic",Responses!$O$6:$O$105,B46)</x:f>
        <x:v>0</x:v>
      </x:c>
      <x:c r="F46" s="7" t="n">
        <x:f>IF($B$7=0,"",E46/$B$7)</x:f>
        <x:v>0</x:v>
      </x:c>
    </x:row>
    <x:row r="47" ht="23" customHeight="1">
      <x:c r="A47" s="6" t="str">
        <x:v>Q14  Are waste bins properly labeled or separated for different types of waste?</x:v>
      </x:c>
      <x:c r="B47" s="6" t="str">
        <x:v>Yes</x:v>
      </x:c>
      <x:c r="C47" s="6" t="n">
        <x:f>COUNTIFS(Responses!$B$6:$B$105,"Actual",Responses!$P$6:$P$105,B47)</x:f>
        <x:v>0</x:v>
      </x:c>
      <x:c r="D47" s="7" t="str">
        <x:f>IF($B$6=0,"",C47/$B$6)</x:f>
      </x:c>
      <x:c r="E47" s="6" t="n">
        <x:f>COUNTIFS(Responses!$B$6:$B$105,"Synthetic",Responses!$P$6:$P$105,B47)</x:f>
        <x:v>0</x:v>
      </x:c>
      <x:c r="F47" s="7" t="n">
        <x:f>IF($B$7=0,"",E47/$B$7)</x:f>
        <x:v>0</x:v>
      </x:c>
    </x:row>
    <x:row r="48" ht="23" customHeight="1">
      <x:c r="A48" s="6" t="str">
        <x:v>Q14  Are waste bins properly labeled or separated for different types of waste?</x:v>
      </x:c>
      <x:c r="B48" s="6" t="str">
        <x:v>No</x:v>
      </x:c>
      <x:c r="C48" s="6" t="n">
        <x:f>COUNTIFS(Responses!$B$6:$B$105,"Actual",Responses!$P$6:$P$105,B48)</x:f>
        <x:v>0</x:v>
      </x:c>
      <x:c r="D48" s="7" t="str">
        <x:f>IF($B$6=0,"",C48/$B$6)</x:f>
      </x:c>
      <x:c r="E48" s="6" t="n">
        <x:f>COUNTIFS(Responses!$B$6:$B$105,"Synthetic",Responses!$P$6:$P$105,B48)</x:f>
        <x:v>22</x:v>
      </x:c>
      <x:c r="F48" s="7" t="n">
        <x:f>IF($B$7=0,"",E48/$B$7)</x:f>
        <x:v>1</x:v>
      </x:c>
    </x:row>
    <x:row r="49" ht="23" customHeight="1">
      <x:c r="A49" s="6" t="str">
        <x:v>Q14  Are waste bins properly labeled or separated for different types of waste?</x:v>
      </x:c>
      <x:c r="B49" s="6" t="str">
        <x:v>Somewhat</x:v>
      </x:c>
      <x:c r="C49" s="6" t="n">
        <x:f>COUNTIFS(Responses!$B$6:$B$105,"Actual",Responses!$P$6:$P$105,B49)</x:f>
        <x:v>0</x:v>
      </x:c>
      <x:c r="D49" s="7" t="str">
        <x:f>IF($B$6=0,"",C49/$B$6)</x:f>
      </x:c>
      <x:c r="E49" s="6" t="n">
        <x:f>COUNTIFS(Responses!$B$6:$B$105,"Synthetic",Responses!$P$6:$P$105,B49)</x:f>
        <x:v>0</x:v>
      </x:c>
      <x:c r="F49" s="7" t="n">
        <x:f>IF($B$7=0,"",E49/$B$7)</x:f>
        <x:v>0</x:v>
      </x:c>
    </x:row>
    <x:row r="50" ht="23" customHeight="1">
      <x:c r="A50" s="6" t="str">
        <x:v>Q15  How effective is waste segregation in practice?</x:v>
      </x:c>
      <x:c r="B50" s="6" t="str">
        <x:v>Very effective</x:v>
      </x:c>
      <x:c r="C50" s="6" t="n">
        <x:f>COUNTIFS(Responses!$B$6:$B$105,"Actual",Responses!$Q$6:$Q$105,B50)</x:f>
        <x:v>0</x:v>
      </x:c>
      <x:c r="D50" s="7" t="str">
        <x:f>IF($B$6=0,"",C50/$B$6)</x:f>
      </x:c>
      <x:c r="E50" s="6" t="n">
        <x:f>COUNTIFS(Responses!$B$6:$B$105,"Synthetic",Responses!$Q$6:$Q$105,B50)</x:f>
        <x:v>0</x:v>
      </x:c>
      <x:c r="F50" s="7" t="n">
        <x:f>IF($B$7=0,"",E50/$B$7)</x:f>
        <x:v>0</x:v>
      </x:c>
    </x:row>
    <x:row r="51" ht="23" customHeight="1">
      <x:c r="A51" s="6" t="str">
        <x:v>Q15  How effective is waste segregation in practice?</x:v>
      </x:c>
      <x:c r="B51" s="6" t="str">
        <x:v>Effective</x:v>
      </x:c>
      <x:c r="C51" s="6" t="n">
        <x:f>COUNTIFS(Responses!$B$6:$B$105,"Actual",Responses!$Q$6:$Q$105,B51)</x:f>
        <x:v>0</x:v>
      </x:c>
      <x:c r="D51" s="7" t="str">
        <x:f>IF($B$6=0,"",C51/$B$6)</x:f>
      </x:c>
      <x:c r="E51" s="6" t="n">
        <x:f>COUNTIFS(Responses!$B$6:$B$105,"Synthetic",Responses!$Q$6:$Q$105,B51)</x:f>
        <x:v>0</x:v>
      </x:c>
      <x:c r="F51" s="7" t="n">
        <x:f>IF($B$7=0,"",E51/$B$7)</x:f>
        <x:v>0</x:v>
      </x:c>
    </x:row>
    <x:row r="52" ht="23" customHeight="1">
      <x:c r="A52" s="6" t="str">
        <x:v>Q15  How effective is waste segregation in practice?</x:v>
      </x:c>
      <x:c r="B52" s="6" t="str">
        <x:v>Average</x:v>
      </x:c>
      <x:c r="C52" s="6" t="n">
        <x:f>COUNTIFS(Responses!$B$6:$B$105,"Actual",Responses!$Q$6:$Q$105,B52)</x:f>
        <x:v>0</x:v>
      </x:c>
      <x:c r="D52" s="7" t="str">
        <x:f>IF($B$6=0,"",C52/$B$6)</x:f>
      </x:c>
      <x:c r="E52" s="6" t="n">
        <x:f>COUNTIFS(Responses!$B$6:$B$105,"Synthetic",Responses!$Q$6:$Q$105,B52)</x:f>
        <x:v>0</x:v>
      </x:c>
      <x:c r="F52" s="7" t="n">
        <x:f>IF($B$7=0,"",E52/$B$7)</x:f>
        <x:v>0</x:v>
      </x:c>
    </x:row>
    <x:row r="53" ht="23" customHeight="1">
      <x:c r="A53" s="6" t="str">
        <x:v>Q15  How effective is waste segregation in practice?</x:v>
      </x:c>
      <x:c r="B53" s="6" t="str">
        <x:v>Poor</x:v>
      </x:c>
      <x:c r="C53" s="6" t="n">
        <x:f>COUNTIFS(Responses!$B$6:$B$105,"Actual",Responses!$Q$6:$Q$105,B53)</x:f>
        <x:v>0</x:v>
      </x:c>
      <x:c r="D53" s="7" t="str">
        <x:f>IF($B$6=0,"",C53/$B$6)</x:f>
      </x:c>
      <x:c r="E53" s="6" t="n">
        <x:f>COUNTIFS(Responses!$B$6:$B$105,"Synthetic",Responses!$Q$6:$Q$105,B53)</x:f>
        <x:v>11</x:v>
      </x:c>
      <x:c r="F53" s="7" t="n">
        <x:f>IF($B$7=0,"",E53/$B$7)</x:f>
        <x:v>0.5</x:v>
      </x:c>
    </x:row>
    <x:row r="54" ht="23" customHeight="1">
      <x:c r="A54" s="6" t="str">
        <x:v>Q15  How effective is waste segregation in practice?</x:v>
      </x:c>
      <x:c r="B54" s="6" t="str">
        <x:v>Very poor</x:v>
      </x:c>
      <x:c r="C54" s="6" t="n">
        <x:f>COUNTIFS(Responses!$B$6:$B$105,"Actual",Responses!$Q$6:$Q$105,B54)</x:f>
        <x:v>0</x:v>
      </x:c>
      <x:c r="D54" s="7" t="str">
        <x:f>IF($B$6=0,"",C54/$B$6)</x:f>
      </x:c>
      <x:c r="E54" s="6" t="n">
        <x:f>COUNTIFS(Responses!$B$6:$B$105,"Synthetic",Responses!$Q$6:$Q$105,B54)</x:f>
        <x:v>11</x:v>
      </x:c>
      <x:c r="F54" s="7" t="n">
        <x:f>IF($B$7=0,"",E54/$B$7)</x:f>
        <x:v>0.5</x:v>
      </x:c>
    </x:row>
    <x:row r="55" ht="23" customHeight="1">
      <x:c r="A55" s="6" t="str">
        <x:v>Q16  What types of waste do you most commonly observe?</x:v>
      </x:c>
      <x:c r="B55" s="6" t="str">
        <x:v>Paper</x:v>
      </x:c>
      <x:c r="C55" s="6" t="n">
        <x:f>COUNTIFS(Responses!$B$6:$B$105,"Actual",Responses!$R$6:$R$105,"*"&amp;B55&amp;"*")</x:f>
        <x:v>0</x:v>
      </x:c>
      <x:c r="D55" s="7" t="str">
        <x:f>IF($B$6=0,"",C55/$B$6)</x:f>
      </x:c>
      <x:c r="E55" s="6" t="n">
        <x:f>COUNTIFS(Responses!$B$6:$B$105,"Synthetic",Responses!$R$6:$R$105,"*"&amp;B55&amp;"*")</x:f>
        <x:v>0</x:v>
      </x:c>
      <x:c r="F55" s="7" t="n">
        <x:f>IF($B$7=0,"",E55/$B$7)</x:f>
        <x:v>0</x:v>
      </x:c>
    </x:row>
    <x:row r="56" ht="23" customHeight="1">
      <x:c r="A56" s="6" t="str">
        <x:v>Q16  What types of waste do you most commonly observe?</x:v>
      </x:c>
      <x:c r="B56" s="6" t="str">
        <x:v>Plastic</x:v>
      </x:c>
      <x:c r="C56" s="6" t="n">
        <x:f>COUNTIFS(Responses!$B$6:$B$105,"Actual",Responses!$R$6:$R$105,"*"&amp;B56&amp;"*")</x:f>
        <x:v>0</x:v>
      </x:c>
      <x:c r="D56" s="7" t="str">
        <x:f>IF($B$6=0,"",C56/$B$6)</x:f>
      </x:c>
      <x:c r="E56" s="6" t="n">
        <x:f>COUNTIFS(Responses!$B$6:$B$105,"Synthetic",Responses!$R$6:$R$105,"*"&amp;B56&amp;"*")</x:f>
        <x:v>0</x:v>
      </x:c>
      <x:c r="F56" s="7" t="n">
        <x:f>IF($B$7=0,"",E56/$B$7)</x:f>
        <x:v>0</x:v>
      </x:c>
    </x:row>
    <x:row r="57" ht="23" customHeight="1">
      <x:c r="A57" s="6" t="str">
        <x:v>Q16  What types of waste do you most commonly observe?</x:v>
      </x:c>
      <x:c r="B57" s="6" t="str">
        <x:v>Food waste</x:v>
      </x:c>
      <x:c r="C57" s="6" t="n">
        <x:f>COUNTIFS(Responses!$B$6:$B$105,"Actual",Responses!$R$6:$R$105,"*"&amp;B57&amp;"*")</x:f>
        <x:v>0</x:v>
      </x:c>
      <x:c r="D57" s="7" t="str">
        <x:f>IF($B$6=0,"",C57/$B$6)</x:f>
      </x:c>
      <x:c r="E57" s="6" t="n">
        <x:f>COUNTIFS(Responses!$B$6:$B$105,"Synthetic",Responses!$R$6:$R$105,"*"&amp;B57&amp;"*")</x:f>
        <x:v>0</x:v>
      </x:c>
      <x:c r="F57" s="7" t="n">
        <x:f>IF($B$7=0,"",E57/$B$7)</x:f>
        <x:v>0</x:v>
      </x:c>
    </x:row>
    <x:row r="58" ht="23" customHeight="1">
      <x:c r="A58" s="6" t="str">
        <x:v>Q16  What types of waste do you most commonly observe?</x:v>
      </x:c>
      <x:c r="B58" s="6" t="str">
        <x:v>E-waste</x:v>
      </x:c>
      <x:c r="C58" s="6" t="n">
        <x:f>COUNTIFS(Responses!$B$6:$B$105,"Actual",Responses!$R$6:$R$105,"*"&amp;B58&amp;"*")</x:f>
        <x:v>0</x:v>
      </x:c>
      <x:c r="D58" s="7" t="str">
        <x:f>IF($B$6=0,"",C58/$B$6)</x:f>
      </x:c>
      <x:c r="E58" s="6" t="n">
        <x:f>COUNTIFS(Responses!$B$6:$B$105,"Synthetic",Responses!$R$6:$R$105,"*"&amp;B58&amp;"*")</x:f>
        <x:v>0</x:v>
      </x:c>
      <x:c r="F58" s="7" t="n">
        <x:f>IF($B$7=0,"",E58/$B$7)</x:f>
        <x:v>0</x:v>
      </x:c>
    </x:row>
    <x:row r="59" ht="23" customHeight="1">
      <x:c r="A59" s="6" t="str">
        <x:v>Q16  What types of waste do you most commonly observe?</x:v>
      </x:c>
      <x:c r="B59" s="6" t="str">
        <x:v>Other</x:v>
      </x:c>
      <x:c r="C59" s="6" t="n">
        <x:f>COUNTIFS(Responses!$B$6:$B$105,"Actual",Responses!$R$6:$R$105,"*"&amp;B59&amp;"*")</x:f>
        <x:v>0</x:v>
      </x:c>
      <x:c r="D59" s="7" t="str">
        <x:f>IF($B$6=0,"",C59/$B$6)</x:f>
      </x:c>
      <x:c r="E59" s="6" t="n">
        <x:f>COUNTIFS(Responses!$B$6:$B$105,"Synthetic",Responses!$R$6:$R$105,"*"&amp;B59&amp;"*")</x:f>
        <x:v>0</x:v>
      </x:c>
      <x:c r="F59" s="7" t="n">
        <x:f>IF($B$7=0,"",E59/$B$7)</x:f>
        <x:v>0</x:v>
      </x:c>
    </x:row>
    <x:row r="60" ht="23" customHeight="1">
      <x:c r="A60" s="6" t="str">
        <x:v>Q17  How often do you notice overflowing bins, littering, or improperly disposed waste?</x:v>
      </x:c>
      <x:c r="B60" s="6" t="str">
        <x:v>Never</x:v>
      </x:c>
      <x:c r="C60" s="6" t="n">
        <x:f>COUNTIFS(Responses!$B$6:$B$105,"Actual",Responses!$S$6:$S$105,B60)</x:f>
        <x:v>0</x:v>
      </x:c>
      <x:c r="D60" s="7" t="str">
        <x:f>IF($B$6=0,"",C60/$B$6)</x:f>
      </x:c>
      <x:c r="E60" s="6" t="n">
        <x:f>COUNTIFS(Responses!$B$6:$B$105,"Synthetic",Responses!$S$6:$S$105,B60)</x:f>
        <x:v>7</x:v>
      </x:c>
      <x:c r="F60" s="7" t="n">
        <x:f>IF($B$7=0,"",E60/$B$7)</x:f>
        <x:v>0.3181818181818182</x:v>
      </x:c>
    </x:row>
    <x:row r="61" ht="23" customHeight="1">
      <x:c r="A61" s="6" t="str">
        <x:v>Q17  How often do you notice overflowing bins, littering, or improperly disposed waste?</x:v>
      </x:c>
      <x:c r="B61" s="6" t="str">
        <x:v>Rarely</x:v>
      </x:c>
      <x:c r="C61" s="6" t="n">
        <x:f>COUNTIFS(Responses!$B$6:$B$105,"Actual",Responses!$S$6:$S$105,B61)</x:f>
        <x:v>0</x:v>
      </x:c>
      <x:c r="D61" s="7" t="str">
        <x:f>IF($B$6=0,"",C61/$B$6)</x:f>
      </x:c>
      <x:c r="E61" s="6" t="n">
        <x:f>COUNTIFS(Responses!$B$6:$B$105,"Synthetic",Responses!$S$6:$S$105,B61)</x:f>
        <x:v>11</x:v>
      </x:c>
      <x:c r="F61" s="7" t="n">
        <x:f>IF($B$7=0,"",E61/$B$7)</x:f>
        <x:v>0.5</x:v>
      </x:c>
    </x:row>
    <x:row r="62" ht="23" customHeight="1">
      <x:c r="A62" s="6" t="str">
        <x:v>Q17  How often do you notice overflowing bins, littering, or improperly disposed waste?</x:v>
      </x:c>
      <x:c r="B62" s="6" t="str">
        <x:v>Sometimes</x:v>
      </x:c>
      <x:c r="C62" s="6" t="n">
        <x:f>COUNTIFS(Responses!$B$6:$B$105,"Actual",Responses!$S$6:$S$105,B62)</x:f>
        <x:v>0</x:v>
      </x:c>
      <x:c r="D62" s="7" t="str">
        <x:f>IF($B$6=0,"",C62/$B$6)</x:f>
      </x:c>
      <x:c r="E62" s="6" t="n">
        <x:f>COUNTIFS(Responses!$B$6:$B$105,"Synthetic",Responses!$S$6:$S$105,B62)</x:f>
        <x:v>4</x:v>
      </x:c>
      <x:c r="F62" s="7" t="n">
        <x:f>IF($B$7=0,"",E62/$B$7)</x:f>
        <x:v>0.18181818181818182</x:v>
      </x:c>
    </x:row>
    <x:row r="63" ht="23" customHeight="1">
      <x:c r="A63" s="6" t="str">
        <x:v>Q17  How often do you notice overflowing bins, littering, or improperly disposed waste?</x:v>
      </x:c>
      <x:c r="B63" s="6" t="str">
        <x:v>Often</x:v>
      </x:c>
      <x:c r="C63" s="6" t="n">
        <x:f>COUNTIFS(Responses!$B$6:$B$105,"Actual",Responses!$S$6:$S$105,B63)</x:f>
        <x:v>0</x:v>
      </x:c>
      <x:c r="D63" s="7" t="str">
        <x:f>IF($B$6=0,"",C63/$B$6)</x:f>
      </x:c>
      <x:c r="E63" s="6" t="n">
        <x:f>COUNTIFS(Responses!$B$6:$B$105,"Synthetic",Responses!$S$6:$S$105,B63)</x:f>
        <x:v>0</x:v>
      </x:c>
      <x:c r="F63" s="7" t="n">
        <x:f>IF($B$7=0,"",E63/$B$7)</x:f>
        <x:v>0</x:v>
      </x:c>
    </x:row>
    <x:row r="64" ht="23" customHeight="1">
      <x:c r="A64" s="6" t="str">
        <x:v>Q17  How often do you notice overflowing bins, littering, or improperly disposed waste?</x:v>
      </x:c>
      <x:c r="B64" s="6" t="str">
        <x:v>Always</x:v>
      </x:c>
      <x:c r="C64" s="6" t="n">
        <x:f>COUNTIFS(Responses!$B$6:$B$105,"Actual",Responses!$S$6:$S$105,B64)</x:f>
        <x:v>0</x:v>
      </x:c>
      <x:c r="D64" s="7" t="str">
        <x:f>IF($B$6=0,"",C64/$B$6)</x:f>
      </x:c>
      <x:c r="E64" s="6" t="n">
        <x:f>COUNTIFS(Responses!$B$6:$B$105,"Synthetic",Responses!$S$6:$S$105,B64)</x:f>
        <x:v>0</x:v>
      </x:c>
      <x:c r="F64" s="7" t="n">
        <x:f>IF($B$7=0,"",E64/$B$7)</x:f>
        <x:v>0</x:v>
      </x:c>
    </x:row>
    <x:row r="65" ht="23" customHeight="1">
      <x:c r="A65" s="6" t="str">
        <x:v>Q19  How would you rate the availability of clean water for drinking and other uses?</x:v>
      </x:c>
      <x:c r="B65" s="6" t="str">
        <x:v>Very good</x:v>
      </x:c>
      <x:c r="C65" s="6" t="n">
        <x:f>COUNTIFS(Responses!$B$6:$B$105,"Actual",Responses!$U$6:$U$105,B65)</x:f>
        <x:v>0</x:v>
      </x:c>
      <x:c r="D65" s="7" t="str">
        <x:f>IF($B$6=0,"",C65/$B$6)</x:f>
      </x:c>
      <x:c r="E65" s="6" t="n">
        <x:f>COUNTIFS(Responses!$B$6:$B$105,"Synthetic",Responses!$U$6:$U$105,B65)</x:f>
        <x:v>7</x:v>
      </x:c>
      <x:c r="F65" s="7" t="n">
        <x:f>IF($B$7=0,"",E65/$B$7)</x:f>
        <x:v>0.3181818181818182</x:v>
      </x:c>
    </x:row>
    <x:row r="66" ht="23" customHeight="1">
      <x:c r="A66" s="6" t="str">
        <x:v>Q19  How would you rate the availability of clean water for drinking and other uses?</x:v>
      </x:c>
      <x:c r="B66" s="6" t="str">
        <x:v>Good</x:v>
      </x:c>
      <x:c r="C66" s="6" t="n">
        <x:f>COUNTIFS(Responses!$B$6:$B$105,"Actual",Responses!$U$6:$U$105,B66)</x:f>
        <x:v>0</x:v>
      </x:c>
      <x:c r="D66" s="7" t="str">
        <x:f>IF($B$6=0,"",C66/$B$6)</x:f>
      </x:c>
      <x:c r="E66" s="6" t="n">
        <x:f>COUNTIFS(Responses!$B$6:$B$105,"Synthetic",Responses!$U$6:$U$105,B66)</x:f>
        <x:v>15</x:v>
      </x:c>
      <x:c r="F66" s="7" t="n">
        <x:f>IF($B$7=0,"",E66/$B$7)</x:f>
        <x:v>0.6818181818181818</x:v>
      </x:c>
    </x:row>
    <x:row r="67" ht="23" customHeight="1">
      <x:c r="A67" s="6" t="str">
        <x:v>Q19  How would you rate the availability of clean water for drinking and other uses?</x:v>
      </x:c>
      <x:c r="B67" s="6" t="str">
        <x:v>Average</x:v>
      </x:c>
      <x:c r="C67" s="6" t="n">
        <x:f>COUNTIFS(Responses!$B$6:$B$105,"Actual",Responses!$U$6:$U$105,B67)</x:f>
        <x:v>0</x:v>
      </x:c>
      <x:c r="D67" s="7" t="str">
        <x:f>IF($B$6=0,"",C67/$B$6)</x:f>
      </x:c>
      <x:c r="E67" s="6" t="n">
        <x:f>COUNTIFS(Responses!$B$6:$B$105,"Synthetic",Responses!$U$6:$U$105,B67)</x:f>
        <x:v>0</x:v>
      </x:c>
      <x:c r="F67" s="7" t="n">
        <x:f>IF($B$7=0,"",E67/$B$7)</x:f>
        <x:v>0</x:v>
      </x:c>
    </x:row>
    <x:row r="68" ht="23" customHeight="1">
      <x:c r="A68" s="6" t="str">
        <x:v>Q19  How would you rate the availability of clean water for drinking and other uses?</x:v>
      </x:c>
      <x:c r="B68" s="6" t="str">
        <x:v>Poor</x:v>
      </x:c>
      <x:c r="C68" s="6" t="n">
        <x:f>COUNTIFS(Responses!$B$6:$B$105,"Actual",Responses!$U$6:$U$105,B68)</x:f>
        <x:v>0</x:v>
      </x:c>
      <x:c r="D68" s="7" t="str">
        <x:f>IF($B$6=0,"",C68/$B$6)</x:f>
      </x:c>
      <x:c r="E68" s="6" t="n">
        <x:f>COUNTIFS(Responses!$B$6:$B$105,"Synthetic",Responses!$U$6:$U$105,B68)</x:f>
        <x:v>0</x:v>
      </x:c>
      <x:c r="F68" s="7" t="n">
        <x:f>IF($B$7=0,"",E68/$B$7)</x:f>
        <x:v>0</x:v>
      </x:c>
    </x:row>
    <x:row r="69" ht="23" customHeight="1">
      <x:c r="A69" s="6" t="str">
        <x:v>Q19  How would you rate the availability of clean water for drinking and other uses?</x:v>
      </x:c>
      <x:c r="B69" s="6" t="str">
        <x:v>Very poor</x:v>
      </x:c>
      <x:c r="C69" s="6" t="n">
        <x:f>COUNTIFS(Responses!$B$6:$B$105,"Actual",Responses!$U$6:$U$105,B69)</x:f>
        <x:v>0</x:v>
      </x:c>
      <x:c r="D69" s="7" t="str">
        <x:f>IF($B$6=0,"",C69/$B$6)</x:f>
      </x:c>
      <x:c r="E69" s="6" t="n">
        <x:f>COUNTIFS(Responses!$B$6:$B$105,"Synthetic",Responses!$U$6:$U$105,B69)</x:f>
        <x:v>0</x:v>
      </x:c>
      <x:c r="F69" s="7" t="n">
        <x:f>IF($B$7=0,"",E69/$B$7)</x:f>
        <x:v>0</x:v>
      </x:c>
    </x:row>
    <x:row r="70" ht="23" customHeight="1">
      <x:c r="A70" s="6" t="str">
        <x:v>Q20  How would you rate the cleanliness and condition of toilets/washrooms?</x:v>
      </x:c>
      <x:c r="B70" s="6" t="str">
        <x:v>Very good</x:v>
      </x:c>
      <x:c r="C70" s="6" t="n">
        <x:f>COUNTIFS(Responses!$B$6:$B$105,"Actual",Responses!$V$6:$V$105,B70)</x:f>
        <x:v>0</x:v>
      </x:c>
      <x:c r="D70" s="7" t="str">
        <x:f>IF($B$6=0,"",C70/$B$6)</x:f>
      </x:c>
      <x:c r="E70" s="6" t="n">
        <x:f>COUNTIFS(Responses!$B$6:$B$105,"Synthetic",Responses!$V$6:$V$105,B70)</x:f>
        <x:v>0</x:v>
      </x:c>
      <x:c r="F70" s="7" t="n">
        <x:f>IF($B$7=0,"",E70/$B$7)</x:f>
        <x:v>0</x:v>
      </x:c>
    </x:row>
    <x:row r="71" ht="23" customHeight="1">
      <x:c r="A71" s="6" t="str">
        <x:v>Q20  How would you rate the cleanliness and condition of toilets/washrooms?</x:v>
      </x:c>
      <x:c r="B71" s="6" t="str">
        <x:v>Good</x:v>
      </x:c>
      <x:c r="C71" s="6" t="n">
        <x:f>COUNTIFS(Responses!$B$6:$B$105,"Actual",Responses!$V$6:$V$105,B71)</x:f>
        <x:v>0</x:v>
      </x:c>
      <x:c r="D71" s="7" t="str">
        <x:f>IF($B$6=0,"",C71/$B$6)</x:f>
      </x:c>
      <x:c r="E71" s="6" t="n">
        <x:f>COUNTIFS(Responses!$B$6:$B$105,"Synthetic",Responses!$V$6:$V$105,B71)</x:f>
        <x:v>0</x:v>
      </x:c>
      <x:c r="F71" s="7" t="n">
        <x:f>IF($B$7=0,"",E71/$B$7)</x:f>
        <x:v>0</x:v>
      </x:c>
    </x:row>
    <x:row r="72" ht="23" customHeight="1">
      <x:c r="A72" s="6" t="str">
        <x:v>Q20  How would you rate the cleanliness and condition of toilets/washrooms?</x:v>
      </x:c>
      <x:c r="B72" s="6" t="str">
        <x:v>Average</x:v>
      </x:c>
      <x:c r="C72" s="6" t="n">
        <x:f>COUNTIFS(Responses!$B$6:$B$105,"Actual",Responses!$V$6:$V$105,B72)</x:f>
        <x:v>0</x:v>
      </x:c>
      <x:c r="D72" s="7" t="str">
        <x:f>IF($B$6=0,"",C72/$B$6)</x:f>
      </x:c>
      <x:c r="E72" s="6" t="n">
        <x:f>COUNTIFS(Responses!$B$6:$B$105,"Synthetic",Responses!$V$6:$V$105,B72)</x:f>
        <x:v>4</x:v>
      </x:c>
      <x:c r="F72" s="7" t="n">
        <x:f>IF($B$7=0,"",E72/$B$7)</x:f>
        <x:v>0.18181818181818182</x:v>
      </x:c>
    </x:row>
    <x:row r="73" ht="23" customHeight="1">
      <x:c r="A73" s="6" t="str">
        <x:v>Q20  How would you rate the cleanliness and condition of toilets/washrooms?</x:v>
      </x:c>
      <x:c r="B73" s="6" t="str">
        <x:v>Poor</x:v>
      </x:c>
      <x:c r="C73" s="6" t="n">
        <x:f>COUNTIFS(Responses!$B$6:$B$105,"Actual",Responses!$V$6:$V$105,B73)</x:f>
        <x:v>0</x:v>
      </x:c>
      <x:c r="D73" s="7" t="str">
        <x:f>IF($B$6=0,"",C73/$B$6)</x:f>
      </x:c>
      <x:c r="E73" s="6" t="n">
        <x:f>COUNTIFS(Responses!$B$6:$B$105,"Synthetic",Responses!$V$6:$V$105,B73)</x:f>
        <x:v>11</x:v>
      </x:c>
      <x:c r="F73" s="7" t="n">
        <x:f>IF($B$7=0,"",E73/$B$7)</x:f>
        <x:v>0.5</x:v>
      </x:c>
    </x:row>
    <x:row r="74" ht="23" customHeight="1">
      <x:c r="A74" s="6" t="str">
        <x:v>Q20  How would you rate the cleanliness and condition of toilets/washrooms?</x:v>
      </x:c>
      <x:c r="B74" s="6" t="str">
        <x:v>Very poor</x:v>
      </x:c>
      <x:c r="C74" s="6" t="n">
        <x:f>COUNTIFS(Responses!$B$6:$B$105,"Actual",Responses!$V$6:$V$105,B74)</x:f>
        <x:v>0</x:v>
      </x:c>
      <x:c r="D74" s="7" t="str">
        <x:f>IF($B$6=0,"",C74/$B$6)</x:f>
      </x:c>
      <x:c r="E74" s="6" t="n">
        <x:f>COUNTIFS(Responses!$B$6:$B$105,"Synthetic",Responses!$V$6:$V$105,B74)</x:f>
        <x:v>7</x:v>
      </x:c>
      <x:c r="F74" s="7" t="n">
        <x:f>IF($B$7=0,"",E74/$B$7)</x:f>
        <x:v>0.3181818181818182</x:v>
      </x:c>
    </x:row>
    <x:row r="75" ht="23" customHeight="1">
      <x:c r="A75" s="6" t="str">
        <x:v>Q23  Are hand-washing facilities and soap adequately available?</x:v>
      </x:c>
      <x:c r="B75" s="6" t="str">
        <x:v>Yes</x:v>
      </x:c>
      <x:c r="C75" s="6" t="n">
        <x:f>COUNTIFS(Responses!$B$6:$B$105,"Actual",Responses!$Y$6:$Y$105,B75)</x:f>
        <x:v>0</x:v>
      </x:c>
      <x:c r="D75" s="7" t="str">
        <x:f>IF($B$6=0,"",C75/$B$6)</x:f>
      </x:c>
      <x:c r="E75" s="6" t="n">
        <x:f>COUNTIFS(Responses!$B$6:$B$105,"Synthetic",Responses!$Y$6:$Y$105,B75)</x:f>
        <x:v>15</x:v>
      </x:c>
      <x:c r="F75" s="7" t="n">
        <x:f>IF($B$7=0,"",E75/$B$7)</x:f>
        <x:v>0.6818181818181818</x:v>
      </x:c>
    </x:row>
    <x:row r="76" ht="23" customHeight="1">
      <x:c r="A76" s="6" t="str">
        <x:v>Q23  Are hand-washing facilities and soap adequately available?</x:v>
      </x:c>
      <x:c r="B76" s="6" t="str">
        <x:v>No</x:v>
      </x:c>
      <x:c r="C76" s="6" t="n">
        <x:f>COUNTIFS(Responses!$B$6:$B$105,"Actual",Responses!$Y$6:$Y$105,B76)</x:f>
        <x:v>0</x:v>
      </x:c>
      <x:c r="D76" s="7" t="str">
        <x:f>IF($B$6=0,"",C76/$B$6)</x:f>
      </x:c>
      <x:c r="E76" s="6" t="n">
        <x:f>COUNTIFS(Responses!$B$6:$B$105,"Synthetic",Responses!$Y$6:$Y$105,B76)</x:f>
        <x:v>0</x:v>
      </x:c>
      <x:c r="F76" s="7" t="n">
        <x:f>IF($B$7=0,"",E76/$B$7)</x:f>
        <x:v>0</x:v>
      </x:c>
    </x:row>
    <x:row r="77" ht="23" customHeight="1">
      <x:c r="A77" s="6" t="str">
        <x:v>Q23  Are hand-washing facilities and soap adequately available?</x:v>
      </x:c>
      <x:c r="B77" s="6" t="str">
        <x:v>Somewhat</x:v>
      </x:c>
      <x:c r="C77" s="6" t="n">
        <x:f>COUNTIFS(Responses!$B$6:$B$105,"Actual",Responses!$Y$6:$Y$105,B77)</x:f>
        <x:v>0</x:v>
      </x:c>
      <x:c r="D77" s="7" t="str">
        <x:f>IF($B$6=0,"",C77/$B$6)</x:f>
      </x:c>
      <x:c r="E77" s="6" t="n">
        <x:f>COUNTIFS(Responses!$B$6:$B$105,"Synthetic",Responses!$Y$6:$Y$105,B77)</x:f>
        <x:v>7</x:v>
      </x:c>
      <x:c r="F77" s="7" t="n">
        <x:f>IF($B$7=0,"",E77/$B$7)</x:f>
        <x:v>0.3181818181818182</x:v>
      </x:c>
    </x:row>
    <x:row r="78" ht="23" customHeight="1">
      <x:c r="A78" s="6" t="str">
        <x:v>Q25  Do you think electricity is used efficiently in the building?</x:v>
      </x:c>
      <x:c r="B78" s="6" t="str">
        <x:v>Yes</x:v>
      </x:c>
      <x:c r="C78" s="6" t="n">
        <x:f>COUNTIFS(Responses!$B$6:$B$105,"Actual",Responses!$AA$6:$AA$105,B78)</x:f>
        <x:v>0</x:v>
      </x:c>
      <x:c r="D78" s="7" t="str">
        <x:f>IF($B$6=0,"",C78/$B$6)</x:f>
      </x:c>
      <x:c r="E78" s="6" t="n">
        <x:f>COUNTIFS(Responses!$B$6:$B$105,"Synthetic",Responses!$AA$6:$AA$105,B78)</x:f>
        <x:v>4</x:v>
      </x:c>
      <x:c r="F78" s="7" t="n">
        <x:f>IF($B$7=0,"",E78/$B$7)</x:f>
        <x:v>0.18181818181818182</x:v>
      </x:c>
    </x:row>
    <x:row r="79" ht="23" customHeight="1">
      <x:c r="A79" s="6" t="str">
        <x:v>Q25  Do you think electricity is used efficiently in the building?</x:v>
      </x:c>
      <x:c r="B79" s="6" t="str">
        <x:v>No</x:v>
      </x:c>
      <x:c r="C79" s="6" t="n">
        <x:f>COUNTIFS(Responses!$B$6:$B$105,"Actual",Responses!$AA$6:$AA$105,B79)</x:f>
        <x:v>0</x:v>
      </x:c>
      <x:c r="D79" s="7" t="str">
        <x:f>IF($B$6=0,"",C79/$B$6)</x:f>
      </x:c>
      <x:c r="E79" s="6" t="n">
        <x:f>COUNTIFS(Responses!$B$6:$B$105,"Synthetic",Responses!$AA$6:$AA$105,B79)</x:f>
        <x:v>7</x:v>
      </x:c>
      <x:c r="F79" s="7" t="n">
        <x:f>IF($B$7=0,"",E79/$B$7)</x:f>
        <x:v>0.3181818181818182</x:v>
      </x:c>
    </x:row>
    <x:row r="80" ht="23" customHeight="1">
      <x:c r="A80" s="6" t="str">
        <x:v>Q25  Do you think electricity is used efficiently in the building?</x:v>
      </x:c>
      <x:c r="B80" s="6" t="str">
        <x:v>Somewhat</x:v>
      </x:c>
      <x:c r="C80" s="6" t="n">
        <x:f>COUNTIFS(Responses!$B$6:$B$105,"Actual",Responses!$AA$6:$AA$105,B80)</x:f>
        <x:v>0</x:v>
      </x:c>
      <x:c r="D80" s="7" t="str">
        <x:f>IF($B$6=0,"",C80/$B$6)</x:f>
      </x:c>
      <x:c r="E80" s="6" t="n">
        <x:f>COUNTIFS(Responses!$B$6:$B$105,"Synthetic",Responses!$AA$6:$AA$105,B80)</x:f>
        <x:v>11</x:v>
      </x:c>
      <x:c r="F80" s="7" t="n">
        <x:f>IF($B$7=0,"",E80/$B$7)</x:f>
        <x:v>0.5</x:v>
      </x:c>
    </x:row>
    <x:row r="81" ht="23" customHeight="1">
      <x:c r="A81" s="6" t="str">
        <x:v>Q26  Do you commonly observe lights, fans, air conditioners, computers, or other equipment being left on unnecessarily?</x:v>
      </x:c>
      <x:c r="B81" s="6" t="str">
        <x:v>Never</x:v>
      </x:c>
      <x:c r="C81" s="6" t="n">
        <x:f>COUNTIFS(Responses!$B$6:$B$105,"Actual",Responses!$AB$6:$AB$105,B81)</x:f>
        <x:v>0</x:v>
      </x:c>
      <x:c r="D81" s="7" t="str">
        <x:f>IF($B$6=0,"",C81/$B$6)</x:f>
      </x:c>
      <x:c r="E81" s="6" t="n">
        <x:f>COUNTIFS(Responses!$B$6:$B$105,"Synthetic",Responses!$AB$6:$AB$105,B81)</x:f>
        <x:v>0</x:v>
      </x:c>
      <x:c r="F81" s="7" t="n">
        <x:f>IF($B$7=0,"",E81/$B$7)</x:f>
        <x:v>0</x:v>
      </x:c>
    </x:row>
    <x:row r="82" ht="23" customHeight="1">
      <x:c r="A82" s="6" t="str">
        <x:v>Q26  Do you commonly observe lights, fans, air conditioners, computers, or other equipment being left on unnecessarily?</x:v>
      </x:c>
      <x:c r="B82" s="6" t="str">
        <x:v>Rarely</x:v>
      </x:c>
      <x:c r="C82" s="6" t="n">
        <x:f>COUNTIFS(Responses!$B$6:$B$105,"Actual",Responses!$AB$6:$AB$105,B82)</x:f>
        <x:v>0</x:v>
      </x:c>
      <x:c r="D82" s="7" t="str">
        <x:f>IF($B$6=0,"",C82/$B$6)</x:f>
      </x:c>
      <x:c r="E82" s="6" t="n">
        <x:f>COUNTIFS(Responses!$B$6:$B$105,"Synthetic",Responses!$AB$6:$AB$105,B82)</x:f>
        <x:v>0</x:v>
      </x:c>
      <x:c r="F82" s="7" t="n">
        <x:f>IF($B$7=0,"",E82/$B$7)</x:f>
        <x:v>0</x:v>
      </x:c>
    </x:row>
    <x:row r="83" ht="23" customHeight="1">
      <x:c r="A83" s="6" t="str">
        <x:v>Q26  Do you commonly observe lights, fans, air conditioners, computers, or other equipment being left on unnecessarily?</x:v>
      </x:c>
      <x:c r="B83" s="6" t="str">
        <x:v>Sometimes</x:v>
      </x:c>
      <x:c r="C83" s="6" t="n">
        <x:f>COUNTIFS(Responses!$B$6:$B$105,"Actual",Responses!$AB$6:$AB$105,B83)</x:f>
        <x:v>0</x:v>
      </x:c>
      <x:c r="D83" s="7" t="str">
        <x:f>IF($B$6=0,"",C83/$B$6)</x:f>
      </x:c>
      <x:c r="E83" s="6" t="n">
        <x:f>COUNTIFS(Responses!$B$6:$B$105,"Synthetic",Responses!$AB$6:$AB$105,B83)</x:f>
        <x:v>15</x:v>
      </x:c>
      <x:c r="F83" s="7" t="n">
        <x:f>IF($B$7=0,"",E83/$B$7)</x:f>
        <x:v>0.6818181818181818</x:v>
      </x:c>
    </x:row>
    <x:row r="84" ht="23" customHeight="1">
      <x:c r="A84" s="6" t="str">
        <x:v>Q26  Do you commonly observe lights, fans, air conditioners, computers, or other equipment being left on unnecessarily?</x:v>
      </x:c>
      <x:c r="B84" s="6" t="str">
        <x:v>Often</x:v>
      </x:c>
      <x:c r="C84" s="6" t="n">
        <x:f>COUNTIFS(Responses!$B$6:$B$105,"Actual",Responses!$AB$6:$AB$105,B84)</x:f>
        <x:v>0</x:v>
      </x:c>
      <x:c r="D84" s="7" t="str">
        <x:f>IF($B$6=0,"",C84/$B$6)</x:f>
      </x:c>
      <x:c r="E84" s="6" t="n">
        <x:f>COUNTIFS(Responses!$B$6:$B$105,"Synthetic",Responses!$AB$6:$AB$105,B84)</x:f>
        <x:v>7</x:v>
      </x:c>
      <x:c r="F84" s="7" t="n">
        <x:f>IF($B$7=0,"",E84/$B$7)</x:f>
        <x:v>0.3181818181818182</x:v>
      </x:c>
    </x:row>
    <x:row r="85" ht="23" customHeight="1">
      <x:c r="A85" s="6" t="str">
        <x:v>Q26  Do you commonly observe lights, fans, air conditioners, computers, or other equipment being left on unnecessarily?</x:v>
      </x:c>
      <x:c r="B85" s="6" t="str">
        <x:v>Always</x:v>
      </x:c>
      <x:c r="C85" s="6" t="n">
        <x:f>COUNTIFS(Responses!$B$6:$B$105,"Actual",Responses!$AB$6:$AB$105,B85)</x:f>
        <x:v>0</x:v>
      </x:c>
      <x:c r="D85" s="7" t="str">
        <x:f>IF($B$6=0,"",C85/$B$6)</x:f>
      </x:c>
      <x:c r="E85" s="6" t="n">
        <x:f>COUNTIFS(Responses!$B$6:$B$105,"Synthetic",Responses!$AB$6:$AB$105,B85)</x:f>
        <x:v>0</x:v>
      </x:c>
      <x:c r="F85" s="7" t="n">
        <x:f>IF($B$7=0,"",E85/$B$7)</x:f>
        <x:v>0</x:v>
      </x:c>
    </x:row>
    <x:row r="86" ht="23" customHeight="1">
      <x:c r="A86" s="6" t="str">
        <x:v>Q30  How would you rate the amount and condition of greenery around the FBS Building?</x:v>
      </x:c>
      <x:c r="B86" s="6" t="str">
        <x:v>Very good</x:v>
      </x:c>
      <x:c r="C86" s="6" t="n">
        <x:f>COUNTIFS(Responses!$B$6:$B$105,"Actual",Responses!$AF$6:$AF$105,B86)</x:f>
        <x:v>0</x:v>
      </x:c>
      <x:c r="D86" s="7" t="str">
        <x:f>IF($B$6=0,"",C86/$B$6)</x:f>
      </x:c>
      <x:c r="E86" s="6" t="n">
        <x:f>COUNTIFS(Responses!$B$6:$B$105,"Synthetic",Responses!$AF$6:$AF$105,B86)</x:f>
        <x:v>4</x:v>
      </x:c>
      <x:c r="F86" s="7" t="n">
        <x:f>IF($B$7=0,"",E86/$B$7)</x:f>
        <x:v>0.18181818181818182</x:v>
      </x:c>
    </x:row>
    <x:row r="87" ht="23" customHeight="1">
      <x:c r="A87" s="6" t="str">
        <x:v>Q30  How would you rate the amount and condition of greenery around the FBS Building?</x:v>
      </x:c>
      <x:c r="B87" s="6" t="str">
        <x:v>Good</x:v>
      </x:c>
      <x:c r="C87" s="6" t="n">
        <x:f>COUNTIFS(Responses!$B$6:$B$105,"Actual",Responses!$AF$6:$AF$105,B87)</x:f>
        <x:v>0</x:v>
      </x:c>
      <x:c r="D87" s="7" t="str">
        <x:f>IF($B$6=0,"",C87/$B$6)</x:f>
      </x:c>
      <x:c r="E87" s="6" t="n">
        <x:f>COUNTIFS(Responses!$B$6:$B$105,"Synthetic",Responses!$AF$6:$AF$105,B87)</x:f>
        <x:v>14</x:v>
      </x:c>
      <x:c r="F87" s="7" t="n">
        <x:f>IF($B$7=0,"",E87/$B$7)</x:f>
        <x:v>0.6363636363636364</x:v>
      </x:c>
    </x:row>
    <x:row r="88" ht="23" customHeight="1">
      <x:c r="A88" s="6" t="str">
        <x:v>Q30  How would you rate the amount and condition of greenery around the FBS Building?</x:v>
      </x:c>
      <x:c r="B88" s="6" t="str">
        <x:v>Average</x:v>
      </x:c>
      <x:c r="C88" s="6" t="n">
        <x:f>COUNTIFS(Responses!$B$6:$B$105,"Actual",Responses!$AF$6:$AF$105,B88)</x:f>
        <x:v>0</x:v>
      </x:c>
      <x:c r="D88" s="7" t="str">
        <x:f>IF($B$6=0,"",C88/$B$6)</x:f>
      </x:c>
      <x:c r="E88" s="6" t="n">
        <x:f>COUNTIFS(Responses!$B$6:$B$105,"Synthetic",Responses!$AF$6:$AF$105,B88)</x:f>
        <x:v>4</x:v>
      </x:c>
      <x:c r="F88" s="7" t="n">
        <x:f>IF($B$7=0,"",E88/$B$7)</x:f>
        <x:v>0.18181818181818182</x:v>
      </x:c>
    </x:row>
    <x:row r="89" ht="23" customHeight="1">
      <x:c r="A89" s="6" t="str">
        <x:v>Q30  How would you rate the amount and condition of greenery around the FBS Building?</x:v>
      </x:c>
      <x:c r="B89" s="6" t="str">
        <x:v>Poor</x:v>
      </x:c>
      <x:c r="C89" s="6" t="n">
        <x:f>COUNTIFS(Responses!$B$6:$B$105,"Actual",Responses!$AF$6:$AF$105,B89)</x:f>
        <x:v>0</x:v>
      </x:c>
      <x:c r="D89" s="7" t="str">
        <x:f>IF($B$6=0,"",C89/$B$6)</x:f>
      </x:c>
      <x:c r="E89" s="6" t="n">
        <x:f>COUNTIFS(Responses!$B$6:$B$105,"Synthetic",Responses!$AF$6:$AF$105,B89)</x:f>
        <x:v>0</x:v>
      </x:c>
      <x:c r="F89" s="7" t="n">
        <x:f>IF($B$7=0,"",E89/$B$7)</x:f>
        <x:v>0</x:v>
      </x:c>
    </x:row>
    <x:row r="90" ht="23" customHeight="1">
      <x:c r="A90" s="6" t="str">
        <x:v>Q30  How would you rate the amount and condition of greenery around the FBS Building?</x:v>
      </x:c>
      <x:c r="B90" s="6" t="str">
        <x:v>Very poor</x:v>
      </x:c>
      <x:c r="C90" s="6" t="n">
        <x:f>COUNTIFS(Responses!$B$6:$B$105,"Actual",Responses!$AF$6:$AF$105,B90)</x:f>
        <x:v>0</x:v>
      </x:c>
      <x:c r="D90" s="7" t="str">
        <x:f>IF($B$6=0,"",C90/$B$6)</x:f>
      </x:c>
      <x:c r="E90" s="6" t="n">
        <x:f>COUNTIFS(Responses!$B$6:$B$105,"Synthetic",Responses!$AF$6:$AF$105,B90)</x:f>
        <x:v>0</x:v>
      </x:c>
      <x:c r="F90" s="7" t="n">
        <x:f>IF($B$7=0,"",E90/$B$7)</x:f>
        <x:v>0</x:v>
      </x:c>
    </x:row>
    <x:row r="91" ht="23" customHeight="1">
      <x:c r="A91" s="6" t="str">
        <x:v>Q31  Are trees, gardens, or landscaped areas adequately maintained?</x:v>
      </x:c>
      <x:c r="B91" s="6" t="str">
        <x:v>Yes</x:v>
      </x:c>
      <x:c r="C91" s="6" t="n">
        <x:f>COUNTIFS(Responses!$B$6:$B$105,"Actual",Responses!$AG$6:$AG$105,B91)</x:f>
        <x:v>0</x:v>
      </x:c>
      <x:c r="D91" s="7" t="str">
        <x:f>IF($B$6=0,"",C91/$B$6)</x:f>
      </x:c>
      <x:c r="E91" s="6" t="n">
        <x:f>COUNTIFS(Responses!$B$6:$B$105,"Synthetic",Responses!$AG$6:$AG$105,B91)</x:f>
        <x:v>7</x:v>
      </x:c>
      <x:c r="F91" s="7" t="n">
        <x:f>IF($B$7=0,"",E91/$B$7)</x:f>
        <x:v>0.3181818181818182</x:v>
      </x:c>
    </x:row>
    <x:row r="92" ht="23" customHeight="1">
      <x:c r="A92" s="6" t="str">
        <x:v>Q31  Are trees, gardens, or landscaped areas adequately maintained?</x:v>
      </x:c>
      <x:c r="B92" s="6" t="str">
        <x:v>No</x:v>
      </x:c>
      <x:c r="C92" s="6" t="n">
        <x:f>COUNTIFS(Responses!$B$6:$B$105,"Actual",Responses!$AG$6:$AG$105,B92)</x:f>
        <x:v>0</x:v>
      </x:c>
      <x:c r="D92" s="7" t="str">
        <x:f>IF($B$6=0,"",C92/$B$6)</x:f>
      </x:c>
      <x:c r="E92" s="6" t="n">
        <x:f>COUNTIFS(Responses!$B$6:$B$105,"Synthetic",Responses!$AG$6:$AG$105,B92)</x:f>
        <x:v>0</x:v>
      </x:c>
      <x:c r="F92" s="7" t="n">
        <x:f>IF($B$7=0,"",E92/$B$7)</x:f>
        <x:v>0</x:v>
      </x:c>
    </x:row>
    <x:row r="93" ht="23" customHeight="1">
      <x:c r="A93" s="6" t="str">
        <x:v>Q31  Are trees, gardens, or landscaped areas adequately maintained?</x:v>
      </x:c>
      <x:c r="B93" s="6" t="str">
        <x:v>Somewhat</x:v>
      </x:c>
      <x:c r="C93" s="6" t="n">
        <x:f>COUNTIFS(Responses!$B$6:$B$105,"Actual",Responses!$AG$6:$AG$105,B93)</x:f>
        <x:v>0</x:v>
      </x:c>
      <x:c r="D93" s="7" t="str">
        <x:f>IF($B$6=0,"",C93/$B$6)</x:f>
      </x:c>
      <x:c r="E93" s="6" t="n">
        <x:f>COUNTIFS(Responses!$B$6:$B$105,"Synthetic",Responses!$AG$6:$AG$105,B93)</x:f>
        <x:v>15</x:v>
      </x:c>
      <x:c r="F93" s="7" t="n">
        <x:f>IF($B$7=0,"",E93/$B$7)</x:f>
        <x:v>0.6818181818181818</x:v>
      </x:c>
    </x:row>
    <x:row r="94" ht="23" customHeight="1">
      <x:c r="A94" s="6" t="str">
        <x:v>Q32  Do you observe birds, insects, or other small wildlife around the building?</x:v>
      </x:c>
      <x:c r="B94" s="6" t="str">
        <x:v>Yes</x:v>
      </x:c>
      <x:c r="C94" s="6" t="n">
        <x:f>COUNTIFS(Responses!$B$6:$B$105,"Actual",Responses!$AH$6:$AH$105,B94)</x:f>
        <x:v>0</x:v>
      </x:c>
      <x:c r="D94" s="7" t="str">
        <x:f>IF($B$6=0,"",C94/$B$6)</x:f>
      </x:c>
      <x:c r="E94" s="6" t="n">
        <x:f>COUNTIFS(Responses!$B$6:$B$105,"Synthetic",Responses!$AH$6:$AH$105,B94)</x:f>
        <x:v>0</x:v>
      </x:c>
      <x:c r="F94" s="7" t="n">
        <x:f>IF($B$7=0,"",E94/$B$7)</x:f>
        <x:v>0</x:v>
      </x:c>
    </x:row>
    <x:row r="95" ht="23" customHeight="1">
      <x:c r="A95" s="6" t="str">
        <x:v>Q32  Do you observe birds, insects, or other small wildlife around the building?</x:v>
      </x:c>
      <x:c r="B95" s="6" t="str">
        <x:v>No</x:v>
      </x:c>
      <x:c r="C95" s="6" t="n">
        <x:f>COUNTIFS(Responses!$B$6:$B$105,"Actual",Responses!$AH$6:$AH$105,B95)</x:f>
        <x:v>0</x:v>
      </x:c>
      <x:c r="D95" s="7" t="str">
        <x:f>IF($B$6=0,"",C95/$B$6)</x:f>
      </x:c>
      <x:c r="E95" s="6" t="n">
        <x:f>COUNTIFS(Responses!$B$6:$B$105,"Synthetic",Responses!$AH$6:$AH$105,B95)</x:f>
        <x:v>7</x:v>
      </x:c>
      <x:c r="F95" s="7" t="n">
        <x:f>IF($B$7=0,"",E95/$B$7)</x:f>
        <x:v>0.3181818181818182</x:v>
      </x:c>
    </x:row>
    <x:row r="96" ht="23" customHeight="1">
      <x:c r="A96" s="6" t="str">
        <x:v>Q32  Do you observe birds, insects, or other small wildlife around the building?</x:v>
      </x:c>
      <x:c r="B96" s="6" t="str">
        <x:v>Rarely</x:v>
      </x:c>
      <x:c r="C96" s="6" t="n">
        <x:f>COUNTIFS(Responses!$B$6:$B$105,"Actual",Responses!$AH$6:$AH$105,B96)</x:f>
        <x:v>0</x:v>
      </x:c>
      <x:c r="D96" s="7" t="str">
        <x:f>IF($B$6=0,"",C96/$B$6)</x:f>
      </x:c>
      <x:c r="E96" s="6" t="n">
        <x:f>COUNTIFS(Responses!$B$6:$B$105,"Synthetic",Responses!$AH$6:$AH$105,B96)</x:f>
        <x:v>15</x:v>
      </x:c>
      <x:c r="F96" s="7" t="n">
        <x:f>IF($B$7=0,"",E96/$B$7)</x:f>
        <x:v>0.6818181818181818</x:v>
      </x:c>
    </x:row>
    <x:row r="97" ht="23" customHeight="1">
      <x:c r="A97" s="6" t="str">
        <x:v>Q33  Does the building provide enough shaded or comfortable outdoor space?</x:v>
      </x:c>
      <x:c r="B97" s="6" t="str">
        <x:v>Yes</x:v>
      </x:c>
      <x:c r="C97" s="6" t="n">
        <x:f>COUNTIFS(Responses!$B$6:$B$105,"Actual",Responses!$AI$6:$AI$105,B97)</x:f>
        <x:v>0</x:v>
      </x:c>
      <x:c r="D97" s="7" t="str">
        <x:f>IF($B$6=0,"",C97/$B$6)</x:f>
      </x:c>
      <x:c r="E97" s="6" t="n">
        <x:f>COUNTIFS(Responses!$B$6:$B$105,"Synthetic",Responses!$AI$6:$AI$105,B97)</x:f>
        <x:v>0</x:v>
      </x:c>
      <x:c r="F97" s="7" t="n">
        <x:f>IF($B$7=0,"",E97/$B$7)</x:f>
        <x:v>0</x:v>
      </x:c>
    </x:row>
    <x:row r="98" ht="23" customHeight="1">
      <x:c r="A98" s="6" t="str">
        <x:v>Q33  Does the building provide enough shaded or comfortable outdoor space?</x:v>
      </x:c>
      <x:c r="B98" s="6" t="str">
        <x:v>No</x:v>
      </x:c>
      <x:c r="C98" s="6" t="n">
        <x:f>COUNTIFS(Responses!$B$6:$B$105,"Actual",Responses!$AI$6:$AI$105,B98)</x:f>
        <x:v>0</x:v>
      </x:c>
      <x:c r="D98" s="7" t="str">
        <x:f>IF($B$6=0,"",C98/$B$6)</x:f>
      </x:c>
      <x:c r="E98" s="6" t="n">
        <x:f>COUNTIFS(Responses!$B$6:$B$105,"Synthetic",Responses!$AI$6:$AI$105,B98)</x:f>
        <x:v>7</x:v>
      </x:c>
      <x:c r="F98" s="7" t="n">
        <x:f>IF($B$7=0,"",E98/$B$7)</x:f>
        <x:v>0.3181818181818182</x:v>
      </x:c>
    </x:row>
    <x:row r="99" ht="23" customHeight="1">
      <x:c r="A99" s="6" t="str">
        <x:v>Q33  Does the building provide enough shaded or comfortable outdoor space?</x:v>
      </x:c>
      <x:c r="B99" s="6" t="str">
        <x:v>Somewhat</x:v>
      </x:c>
      <x:c r="C99" s="6" t="n">
        <x:f>COUNTIFS(Responses!$B$6:$B$105,"Actual",Responses!$AI$6:$AI$105,B99)</x:f>
        <x:v>0</x:v>
      </x:c>
      <x:c r="D99" s="7" t="str">
        <x:f>IF($B$6=0,"",C99/$B$6)</x:f>
      </x:c>
      <x:c r="E99" s="6" t="n">
        <x:f>COUNTIFS(Responses!$B$6:$B$105,"Synthetic",Responses!$AI$6:$AI$105,B99)</x:f>
        <x:v>15</x:v>
      </x:c>
      <x:c r="F99" s="7" t="n">
        <x:f>IF($B$7=0,"",E99/$B$7)</x:f>
        <x:v>0.6818181818181818</x:v>
      </x:c>
    </x:row>
    <x:row r="100" ht="23" customHeight="1">
      <x:c r="A100" s="6" t="str">
        <x:v>Q35  How would you rate the traffic and vehicle movement around the FBS Building?</x:v>
      </x:c>
      <x:c r="B100" s="6" t="str">
        <x:v>Very good</x:v>
      </x:c>
      <x:c r="C100" s="6" t="n">
        <x:f>COUNTIFS(Responses!$B$6:$B$105,"Actual",Responses!$AK$6:$AK$105,B100)</x:f>
        <x:v>0</x:v>
      </x:c>
      <x:c r="D100" s="7" t="str">
        <x:f>IF($B$6=0,"",C100/$B$6)</x:f>
      </x:c>
      <x:c r="E100" s="6" t="n">
        <x:f>COUNTIFS(Responses!$B$6:$B$105,"Synthetic",Responses!$AK$6:$AK$105,B100)</x:f>
        <x:v>0</x:v>
      </x:c>
      <x:c r="F100" s="7" t="n">
        <x:f>IF($B$7=0,"",E100/$B$7)</x:f>
        <x:v>0</x:v>
      </x:c>
    </x:row>
    <x:row r="101" ht="23" customHeight="1">
      <x:c r="A101" s="6" t="str">
        <x:v>Q35  How would you rate the traffic and vehicle movement around the FBS Building?</x:v>
      </x:c>
      <x:c r="B101" s="6" t="str">
        <x:v>Good</x:v>
      </x:c>
      <x:c r="C101" s="6" t="n">
        <x:f>COUNTIFS(Responses!$B$6:$B$105,"Actual",Responses!$AK$6:$AK$105,B101)</x:f>
        <x:v>0</x:v>
      </x:c>
      <x:c r="D101" s="7" t="str">
        <x:f>IF($B$6=0,"",C101/$B$6)</x:f>
      </x:c>
      <x:c r="E101" s="6" t="n">
        <x:f>COUNTIFS(Responses!$B$6:$B$105,"Synthetic",Responses!$AK$6:$AK$105,B101)</x:f>
        <x:v>15</x:v>
      </x:c>
      <x:c r="F101" s="7" t="n">
        <x:f>IF($B$7=0,"",E101/$B$7)</x:f>
        <x:v>0.6818181818181818</x:v>
      </x:c>
    </x:row>
    <x:row r="102" ht="23" customHeight="1">
      <x:c r="A102" s="6" t="str">
        <x:v>Q35  How would you rate the traffic and vehicle movement around the FBS Building?</x:v>
      </x:c>
      <x:c r="B102" s="6" t="str">
        <x:v>Average</x:v>
      </x:c>
      <x:c r="C102" s="6" t="n">
        <x:f>COUNTIFS(Responses!$B$6:$B$105,"Actual",Responses!$AK$6:$AK$105,B102)</x:f>
        <x:v>0</x:v>
      </x:c>
      <x:c r="D102" s="7" t="str">
        <x:f>IF($B$6=0,"",C102/$B$6)</x:f>
      </x:c>
      <x:c r="E102" s="6" t="n">
        <x:f>COUNTIFS(Responses!$B$6:$B$105,"Synthetic",Responses!$AK$6:$AK$105,B102)</x:f>
        <x:v>7</x:v>
      </x:c>
      <x:c r="F102" s="7" t="n">
        <x:f>IF($B$7=0,"",E102/$B$7)</x:f>
        <x:v>0.3181818181818182</x:v>
      </x:c>
    </x:row>
    <x:row r="103" ht="23" customHeight="1">
      <x:c r="A103" s="6" t="str">
        <x:v>Q35  How would you rate the traffic and vehicle movement around the FBS Building?</x:v>
      </x:c>
      <x:c r="B103" s="6" t="str">
        <x:v>Poor</x:v>
      </x:c>
      <x:c r="C103" s="6" t="n">
        <x:f>COUNTIFS(Responses!$B$6:$B$105,"Actual",Responses!$AK$6:$AK$105,B103)</x:f>
        <x:v>0</x:v>
      </x:c>
      <x:c r="D103" s="7" t="str">
        <x:f>IF($B$6=0,"",C103/$B$6)</x:f>
      </x:c>
      <x:c r="E103" s="6" t="n">
        <x:f>COUNTIFS(Responses!$B$6:$B$105,"Synthetic",Responses!$AK$6:$AK$105,B103)</x:f>
        <x:v>0</x:v>
      </x:c>
      <x:c r="F103" s="7" t="n">
        <x:f>IF($B$7=0,"",E103/$B$7)</x:f>
        <x:v>0</x:v>
      </x:c>
    </x:row>
    <x:row r="104" ht="23" customHeight="1">
      <x:c r="A104" s="6" t="str">
        <x:v>Q35  How would you rate the traffic and vehicle movement around the FBS Building?</x:v>
      </x:c>
      <x:c r="B104" s="6" t="str">
        <x:v>Very poor</x:v>
      </x:c>
      <x:c r="C104" s="6" t="n">
        <x:f>COUNTIFS(Responses!$B$6:$B$105,"Actual",Responses!$AK$6:$AK$105,B104)</x:f>
        <x:v>0</x:v>
      </x:c>
      <x:c r="D104" s="7" t="str">
        <x:f>IF($B$6=0,"",C104/$B$6)</x:f>
      </x:c>
      <x:c r="E104" s="6" t="n">
        <x:f>COUNTIFS(Responses!$B$6:$B$105,"Synthetic",Responses!$AK$6:$AK$105,B104)</x:f>
        <x:v>0</x:v>
      </x:c>
      <x:c r="F104" s="7" t="n">
        <x:f>IF($B$7=0,"",E104/$B$7)</x:f>
        <x:v>0</x:v>
      </x:c>
    </x:row>
    <x:row r="105" ht="23" customHeight="1">
      <x:c r="A105" s="6" t="str">
        <x:v>Q36  Do vehicles create noticeable dust, exhaust fumes, or noise around the building?</x:v>
      </x:c>
      <x:c r="B105" s="6" t="str">
        <x:v>Yes</x:v>
      </x:c>
      <x:c r="C105" s="6" t="n">
        <x:f>COUNTIFS(Responses!$B$6:$B$105,"Actual",Responses!$AL$6:$AL$105,B105)</x:f>
        <x:v>0</x:v>
      </x:c>
      <x:c r="D105" s="7" t="str">
        <x:f>IF($B$6=0,"",C105/$B$6)</x:f>
      </x:c>
      <x:c r="E105" s="6" t="n">
        <x:f>COUNTIFS(Responses!$B$6:$B$105,"Synthetic",Responses!$AL$6:$AL$105,B105)</x:f>
        <x:v>0</x:v>
      </x:c>
      <x:c r="F105" s="7" t="n">
        <x:f>IF($B$7=0,"",E105/$B$7)</x:f>
        <x:v>0</x:v>
      </x:c>
    </x:row>
    <x:row r="106" ht="23" customHeight="1">
      <x:c r="A106" s="6" t="str">
        <x:v>Q36  Do vehicles create noticeable dust, exhaust fumes, or noise around the building?</x:v>
      </x:c>
      <x:c r="B106" s="6" t="str">
        <x:v>No</x:v>
      </x:c>
      <x:c r="C106" s="6" t="n">
        <x:f>COUNTIFS(Responses!$B$6:$B$105,"Actual",Responses!$AL$6:$AL$105,B106)</x:f>
        <x:v>0</x:v>
      </x:c>
      <x:c r="D106" s="7" t="str">
        <x:f>IF($B$6=0,"",C106/$B$6)</x:f>
      </x:c>
      <x:c r="E106" s="6" t="n">
        <x:f>COUNTIFS(Responses!$B$6:$B$105,"Synthetic",Responses!$AL$6:$AL$105,B106)</x:f>
        <x:v>15</x:v>
      </x:c>
      <x:c r="F106" s="7" t="n">
        <x:f>IF($B$7=0,"",E106/$B$7)</x:f>
        <x:v>0.6818181818181818</x:v>
      </x:c>
    </x:row>
    <x:row r="107" ht="23" customHeight="1">
      <x:c r="A107" s="6" t="str">
        <x:v>Q36  Do vehicles create noticeable dust, exhaust fumes, or noise around the building?</x:v>
      </x:c>
      <x:c r="B107" s="6" t="str">
        <x:v>Somewhat</x:v>
      </x:c>
      <x:c r="C107" s="6" t="n">
        <x:f>COUNTIFS(Responses!$B$6:$B$105,"Actual",Responses!$AL$6:$AL$105,B107)</x:f>
        <x:v>0</x:v>
      </x:c>
      <x:c r="D107" s="7" t="str">
        <x:f>IF($B$6=0,"",C107/$B$6)</x:f>
      </x:c>
      <x:c r="E107" s="6" t="n">
        <x:f>COUNTIFS(Responses!$B$6:$B$105,"Synthetic",Responses!$AL$6:$AL$105,B107)</x:f>
        <x:v>7</x:v>
      </x:c>
      <x:c r="F107" s="7" t="n">
        <x:f>IF($B$7=0,"",E107/$B$7)</x:f>
        <x:v>0.3181818181818182</x:v>
      </x:c>
    </x:row>
    <x:row r="108" ht="23" customHeight="1">
      <x:c r="A108" s="6" t="str">
        <x:v>Q37  Is parking managed in a way that minimizes environmental disturbance?</x:v>
      </x:c>
      <x:c r="B108" s="6" t="str">
        <x:v>Yes</x:v>
      </x:c>
      <x:c r="C108" s="6" t="n">
        <x:f>COUNTIFS(Responses!$B$6:$B$105,"Actual",Responses!$AM$6:$AM$105,B108)</x:f>
        <x:v>0</x:v>
      </x:c>
      <x:c r="D108" s="7" t="str">
        <x:f>IF($B$6=0,"",C108/$B$6)</x:f>
      </x:c>
      <x:c r="E108" s="6" t="n">
        <x:f>COUNTIFS(Responses!$B$6:$B$105,"Synthetic",Responses!$AM$6:$AM$105,B108)</x:f>
        <x:v>15</x:v>
      </x:c>
      <x:c r="F108" s="7" t="n">
        <x:f>IF($B$7=0,"",E108/$B$7)</x:f>
        <x:v>0.6818181818181818</x:v>
      </x:c>
    </x:row>
    <x:row r="109" ht="23" customHeight="1">
      <x:c r="A109" s="6" t="str">
        <x:v>Q37  Is parking managed in a way that minimizes environmental disturbance?</x:v>
      </x:c>
      <x:c r="B109" s="6" t="str">
        <x:v>No</x:v>
      </x:c>
      <x:c r="C109" s="6" t="n">
        <x:f>COUNTIFS(Responses!$B$6:$B$105,"Actual",Responses!$AM$6:$AM$105,B109)</x:f>
        <x:v>0</x:v>
      </x:c>
      <x:c r="D109" s="7" t="str">
        <x:f>IF($B$6=0,"",C109/$B$6)</x:f>
      </x:c>
      <x:c r="E109" s="6" t="n">
        <x:f>COUNTIFS(Responses!$B$6:$B$105,"Synthetic",Responses!$AM$6:$AM$105,B109)</x:f>
        <x:v>0</x:v>
      </x:c>
      <x:c r="F109" s="7" t="n">
        <x:f>IF($B$7=0,"",E109/$B$7)</x:f>
        <x:v>0</x:v>
      </x:c>
    </x:row>
    <x:row r="110" ht="23" customHeight="1">
      <x:c r="A110" s="6" t="str">
        <x:v>Q37  Is parking managed in a way that minimizes environmental disturbance?</x:v>
      </x:c>
      <x:c r="B110" s="6" t="str">
        <x:v>Somewhat</x:v>
      </x:c>
      <x:c r="C110" s="6" t="n">
        <x:f>COUNTIFS(Responses!$B$6:$B$105,"Actual",Responses!$AM$6:$AM$105,B110)</x:f>
        <x:v>0</x:v>
      </x:c>
      <x:c r="D110" s="7" t="str">
        <x:f>IF($B$6=0,"",C110/$B$6)</x:f>
      </x:c>
      <x:c r="E110" s="6" t="n">
        <x:f>COUNTIFS(Responses!$B$6:$B$105,"Synthetic",Responses!$AM$6:$AM$105,B110)</x:f>
        <x:v>7</x:v>
      </x:c>
      <x:c r="F110" s="7" t="n">
        <x:f>IF($B$7=0,"",E110/$B$7)</x:f>
        <x:v>0.3181818181818182</x:v>
      </x:c>
    </x:row>
    <x:row r="111" ht="23" customHeight="1">
      <x:c r="A111" s="6" t="str">
        <x:v>Q38  Are pedestrian pathways safe and convenient?</x:v>
      </x:c>
      <x:c r="B111" s="6" t="str">
        <x:v>Yes</x:v>
      </x:c>
      <x:c r="C111" s="6" t="n">
        <x:f>COUNTIFS(Responses!$B$6:$B$105,"Actual",Responses!$AN$6:$AN$105,B111)</x:f>
        <x:v>0</x:v>
      </x:c>
      <x:c r="D111" s="7" t="str">
        <x:f>IF($B$6=0,"",C111/$B$6)</x:f>
      </x:c>
      <x:c r="E111" s="6" t="n">
        <x:f>COUNTIFS(Responses!$B$6:$B$105,"Synthetic",Responses!$AN$6:$AN$105,B111)</x:f>
        <x:v>15</x:v>
      </x:c>
      <x:c r="F111" s="7" t="n">
        <x:f>IF($B$7=0,"",E111/$B$7)</x:f>
        <x:v>0.6818181818181818</x:v>
      </x:c>
    </x:row>
    <x:row r="112" ht="23" customHeight="1">
      <x:c r="A112" s="6" t="str">
        <x:v>Q38  Are pedestrian pathways safe and convenient?</x:v>
      </x:c>
      <x:c r="B112" s="6" t="str">
        <x:v>No</x:v>
      </x:c>
      <x:c r="C112" s="6" t="n">
        <x:f>COUNTIFS(Responses!$B$6:$B$105,"Actual",Responses!$AN$6:$AN$105,B112)</x:f>
        <x:v>0</x:v>
      </x:c>
      <x:c r="D112" s="7" t="str">
        <x:f>IF($B$6=0,"",C112/$B$6)</x:f>
      </x:c>
      <x:c r="E112" s="6" t="n">
        <x:f>COUNTIFS(Responses!$B$6:$B$105,"Synthetic",Responses!$AN$6:$AN$105,B112)</x:f>
        <x:v>0</x:v>
      </x:c>
      <x:c r="F112" s="7" t="n">
        <x:f>IF($B$7=0,"",E112/$B$7)</x:f>
        <x:v>0</x:v>
      </x:c>
    </x:row>
    <x:row r="113" ht="23" customHeight="1">
      <x:c r="A113" s="6" t="str">
        <x:v>Q38  Are pedestrian pathways safe and convenient?</x:v>
      </x:c>
      <x:c r="B113" s="6" t="str">
        <x:v>Somewhat</x:v>
      </x:c>
      <x:c r="C113" s="6" t="n">
        <x:f>COUNTIFS(Responses!$B$6:$B$105,"Actual",Responses!$AN$6:$AN$105,B113)</x:f>
        <x:v>0</x:v>
      </x:c>
      <x:c r="D113" s="7" t="str">
        <x:f>IF($B$6=0,"",C113/$B$6)</x:f>
      </x:c>
      <x:c r="E113" s="6" t="n">
        <x:f>COUNTIFS(Responses!$B$6:$B$105,"Synthetic",Responses!$AN$6:$AN$105,B113)</x:f>
        <x:v>7</x:v>
      </x:c>
      <x:c r="F113" s="7" t="n">
        <x:f>IF($B$7=0,"",E113/$B$7)</x:f>
        <x:v>0.3181818181818182</x:v>
      </x:c>
    </x:row>
    <x:row r="114" ht="23" customHeight="1">
      <x:c r="A114" s="6" t="str">
        <x:v>Q41  Are emergency exits, fire-safety equipment, and evacuation routes clearly visible and accessible?</x:v>
      </x:c>
      <x:c r="B114" s="6" t="str">
        <x:v>Yes</x:v>
      </x:c>
      <x:c r="C114" s="6" t="n">
        <x:f>COUNTIFS(Responses!$B$6:$B$105,"Actual",Responses!$AQ$6:$AQ$105,B114)</x:f>
        <x:v>0</x:v>
      </x:c>
      <x:c r="D114" s="7" t="str">
        <x:f>IF($B$6=0,"",C114/$B$6)</x:f>
      </x:c>
      <x:c r="E114" s="6" t="n">
        <x:f>COUNTIFS(Responses!$B$6:$B$105,"Synthetic",Responses!$AQ$6:$AQ$105,B114)</x:f>
        <x:v>0</x:v>
      </x:c>
      <x:c r="F114" s="7" t="n">
        <x:f>IF($B$7=0,"",E114/$B$7)</x:f>
        <x:v>0</x:v>
      </x:c>
    </x:row>
    <x:row r="115" ht="23" customHeight="1">
      <x:c r="A115" s="6" t="str">
        <x:v>Q41  Are emergency exits, fire-safety equipment, and evacuation routes clearly visible and accessible?</x:v>
      </x:c>
      <x:c r="B115" s="6" t="str">
        <x:v>No</x:v>
      </x:c>
      <x:c r="C115" s="6" t="n">
        <x:f>COUNTIFS(Responses!$B$6:$B$105,"Actual",Responses!$AQ$6:$AQ$105,B115)</x:f>
        <x:v>0</x:v>
      </x:c>
      <x:c r="D115" s="7" t="str">
        <x:f>IF($B$6=0,"",C115/$B$6)</x:f>
      </x:c>
      <x:c r="E115" s="6" t="n">
        <x:f>COUNTIFS(Responses!$B$6:$B$105,"Synthetic",Responses!$AQ$6:$AQ$105,B115)</x:f>
        <x:v>15</x:v>
      </x:c>
      <x:c r="F115" s="7" t="n">
        <x:f>IF($B$7=0,"",E115/$B$7)</x:f>
        <x:v>0.6818181818181818</x:v>
      </x:c>
    </x:row>
    <x:row r="116" ht="23" customHeight="1">
      <x:c r="A116" s="6" t="str">
        <x:v>Q41  Are emergency exits, fire-safety equipment, and evacuation routes clearly visible and accessible?</x:v>
      </x:c>
      <x:c r="B116" s="6" t="str">
        <x:v>Somewhat</x:v>
      </x:c>
      <x:c r="C116" s="6" t="n">
        <x:f>COUNTIFS(Responses!$B$6:$B$105,"Actual",Responses!$AQ$6:$AQ$105,B116)</x:f>
        <x:v>0</x:v>
      </x:c>
      <x:c r="D116" s="7" t="str">
        <x:f>IF($B$6=0,"",C116/$B$6)</x:f>
      </x:c>
      <x:c r="E116" s="6" t="n">
        <x:f>COUNTIFS(Responses!$B$6:$B$105,"Synthetic",Responses!$AQ$6:$AQ$105,B116)</x:f>
        <x:v>7</x:v>
      </x:c>
      <x:c r="F116" s="7" t="n">
        <x:f>IF($B$7=0,"",E116/$B$7)</x:f>
        <x:v>0.3181818181818182</x:v>
      </x:c>
    </x:row>
    <x:row r="117" ht="23" customHeight="1">
      <x:c r="A117" s="6" t="str">
        <x:v>Q42  Do you feel the building is adequately prepared for environmental emergencies such as fire, extreme heat, heavy rainfall, or waterlogging?</x:v>
      </x:c>
      <x:c r="B117" s="6" t="str">
        <x:v>Yes</x:v>
      </x:c>
      <x:c r="C117" s="6" t="n">
        <x:f>COUNTIFS(Responses!$B$6:$B$105,"Actual",Responses!$AR$6:$AR$105,B117)</x:f>
        <x:v>0</x:v>
      </x:c>
      <x:c r="D117" s="7" t="str">
        <x:f>IF($B$6=0,"",C117/$B$6)</x:f>
      </x:c>
      <x:c r="E117" s="6" t="n">
        <x:f>COUNTIFS(Responses!$B$6:$B$105,"Synthetic",Responses!$AR$6:$AR$105,B117)</x:f>
        <x:v>0</x:v>
      </x:c>
      <x:c r="F117" s="7" t="n">
        <x:f>IF($B$7=0,"",E117/$B$7)</x:f>
        <x:v>0</x:v>
      </x:c>
    </x:row>
    <x:row r="118" ht="23" customHeight="1">
      <x:c r="A118" s="6" t="str">
        <x:v>Q42  Do you feel the building is adequately prepared for environmental emergencies such as fire, extreme heat, heavy rainfall, or waterlogging?</x:v>
      </x:c>
      <x:c r="B118" s="6" t="str">
        <x:v>No</x:v>
      </x:c>
      <x:c r="C118" s="6" t="n">
        <x:f>COUNTIFS(Responses!$B$6:$B$105,"Actual",Responses!$AR$6:$AR$105,B118)</x:f>
        <x:v>0</x:v>
      </x:c>
      <x:c r="D118" s="7" t="str">
        <x:f>IF($B$6=0,"",C118/$B$6)</x:f>
      </x:c>
      <x:c r="E118" s="6" t="n">
        <x:f>COUNTIFS(Responses!$B$6:$B$105,"Synthetic",Responses!$AR$6:$AR$105,B118)</x:f>
        <x:v>7</x:v>
      </x:c>
      <x:c r="F118" s="7" t="n">
        <x:f>IF($B$7=0,"",E118/$B$7)</x:f>
        <x:v>0.3181818181818182</x:v>
      </x:c>
    </x:row>
    <x:row r="119" ht="23" customHeight="1">
      <x:c r="A119" s="6" t="str">
        <x:v>Q42  Do you feel the building is adequately prepared for environmental emergencies such as fire, extreme heat, heavy rainfall, or waterlogging?</x:v>
      </x:c>
      <x:c r="B119" s="6" t="str">
        <x:v>Somewhat</x:v>
      </x:c>
      <x:c r="C119" s="6" t="n">
        <x:f>COUNTIFS(Responses!$B$6:$B$105,"Actual",Responses!$AR$6:$AR$105,B119)</x:f>
        <x:v>0</x:v>
      </x:c>
      <x:c r="D119" s="7" t="str">
        <x:f>IF($B$6=0,"",C119/$B$6)</x:f>
      </x:c>
      <x:c r="E119" s="6" t="n">
        <x:f>COUNTIFS(Responses!$B$6:$B$105,"Synthetic",Responses!$AR$6:$AR$105,B119)</x:f>
        <x:v>15</x:v>
      </x:c>
      <x:c r="F119" s="7" t="n">
        <x:f>IF($B$7=0,"",E119/$B$7)</x:f>
        <x:v>0.6818181818181818</x:v>
      </x:c>
    </x:row>
    <x:row r="120" ht="23" customHeight="1">
      <x:c r="A120" s="6" t="str">
        <x:v>Q44  Overall, how would you rate the environmental condition of the FBS Building?</x:v>
      </x:c>
      <x:c r="B120" s="6" t="str">
        <x:v>Very good</x:v>
      </x:c>
      <x:c r="C120" s="6" t="n">
        <x:f>COUNTIFS(Responses!$B$6:$B$105,"Actual",Responses!$AT$6:$AT$105,B120)</x:f>
        <x:v>0</x:v>
      </x:c>
      <x:c r="D120" s="7" t="str">
        <x:f>IF($B$6=0,"",C120/$B$6)</x:f>
      </x:c>
      <x:c r="E120" s="6" t="n">
        <x:f>COUNTIFS(Responses!$B$6:$B$105,"Synthetic",Responses!$AT$6:$AT$105,B120)</x:f>
        <x:v>0</x:v>
      </x:c>
      <x:c r="F120" s="7" t="n">
        <x:f>IF($B$7=0,"",E120/$B$7)</x:f>
        <x:v>0</x:v>
      </x:c>
    </x:row>
    <x:row r="121" ht="23" customHeight="1">
      <x:c r="A121" s="6" t="str">
        <x:v>Q44  Overall, how would you rate the environmental condition of the FBS Building?</x:v>
      </x:c>
      <x:c r="B121" s="6" t="str">
        <x:v>Good</x:v>
      </x:c>
      <x:c r="C121" s="6" t="n">
        <x:f>COUNTIFS(Responses!$B$6:$B$105,"Actual",Responses!$AT$6:$AT$105,B121)</x:f>
        <x:v>0</x:v>
      </x:c>
      <x:c r="D121" s="7" t="str">
        <x:f>IF($B$6=0,"",C121/$B$6)</x:f>
      </x:c>
      <x:c r="E121" s="6" t="n">
        <x:f>COUNTIFS(Responses!$B$6:$B$105,"Synthetic",Responses!$AT$6:$AT$105,B121)</x:f>
        <x:v>0</x:v>
      </x:c>
      <x:c r="F121" s="7" t="n">
        <x:f>IF($B$7=0,"",E121/$B$7)</x:f>
        <x:v>0</x:v>
      </x:c>
    </x:row>
    <x:row r="122" ht="23" customHeight="1">
      <x:c r="A122" s="6" t="str">
        <x:v>Q44  Overall, how would you rate the environmental condition of the FBS Building?</x:v>
      </x:c>
      <x:c r="B122" s="6" t="str">
        <x:v>Average</x:v>
      </x:c>
      <x:c r="C122" s="6" t="n">
        <x:f>COUNTIFS(Responses!$B$6:$B$105,"Actual",Responses!$AT$6:$AT$105,B122)</x:f>
        <x:v>0</x:v>
      </x:c>
      <x:c r="D122" s="7" t="str">
        <x:f>IF($B$6=0,"",C122/$B$6)</x:f>
      </x:c>
      <x:c r="E122" s="6" t="n">
        <x:f>COUNTIFS(Responses!$B$6:$B$105,"Synthetic",Responses!$AT$6:$AT$105,B122)</x:f>
        <x:v>15</x:v>
      </x:c>
      <x:c r="F122" s="7" t="n">
        <x:f>IF($B$7=0,"",E122/$B$7)</x:f>
        <x:v>0.6818181818181818</x:v>
      </x:c>
    </x:row>
    <x:row r="123" ht="23" customHeight="1">
      <x:c r="A123" s="6" t="str">
        <x:v>Q44  Overall, how would you rate the environmental condition of the FBS Building?</x:v>
      </x:c>
      <x:c r="B123" s="6" t="str">
        <x:v>Poor</x:v>
      </x:c>
      <x:c r="C123" s="6" t="n">
        <x:f>COUNTIFS(Responses!$B$6:$B$105,"Actual",Responses!$AT$6:$AT$105,B123)</x:f>
        <x:v>0</x:v>
      </x:c>
      <x:c r="D123" s="7" t="str">
        <x:f>IF($B$6=0,"",C123/$B$6)</x:f>
      </x:c>
      <x:c r="E123" s="6" t="n">
        <x:f>COUNTIFS(Responses!$B$6:$B$105,"Synthetic",Responses!$AT$6:$AT$105,B123)</x:f>
        <x:v>7</x:v>
      </x:c>
      <x:c r="F123" s="7" t="n">
        <x:f>IF($B$7=0,"",E123/$B$7)</x:f>
        <x:v>0.3181818181818182</x:v>
      </x:c>
    </x:row>
    <x:row r="124" ht="23" customHeight="1">
      <x:c r="A124" s="6" t="str">
        <x:v>Q44  Overall, how would you rate the environmental condition of the FBS Building?</x:v>
      </x:c>
      <x:c r="B124" s="6" t="str">
        <x:v>Very poor</x:v>
      </x:c>
      <x:c r="C124" s="6" t="n">
        <x:f>COUNTIFS(Responses!$B$6:$B$105,"Actual",Responses!$AT$6:$AT$105,B124)</x:f>
        <x:v>0</x:v>
      </x:c>
      <x:c r="D124" s="7" t="str">
        <x:f>IF($B$6=0,"",C124/$B$6)</x:f>
      </x:c>
      <x:c r="E124" s="6" t="n">
        <x:f>COUNTIFS(Responses!$B$6:$B$105,"Synthetic",Responses!$AT$6:$AT$105,B124)</x:f>
        <x:v>0</x:v>
      </x:c>
      <x:c r="F124" s="7" t="n">
        <x:f>IF($B$7=0,"",E124/$B$7)</x:f>
        <x:v>0</x:v>
      </x:c>
    </x:row>
    <x:row r="125" ht="23" customHeight="1">
      <x:c r="A125" s="6" t="str">
        <x:v>Q48  Would you be willing to participate in or support environmental initiatives in the building?</x:v>
      </x:c>
      <x:c r="B125" s="6" t="str">
        <x:v>Yes</x:v>
      </x:c>
      <x:c r="C125" s="6" t="n">
        <x:f>COUNTIFS(Responses!$B$6:$B$105,"Actual",Responses!$AX$6:$AX$105,B125)</x:f>
        <x:v>0</x:v>
      </x:c>
      <x:c r="D125" s="7" t="str">
        <x:f>IF($B$6=0,"",C125/$B$6)</x:f>
      </x:c>
      <x:c r="E125" s="6" t="n">
        <x:f>COUNTIFS(Responses!$B$6:$B$105,"Synthetic",Responses!$AX$6:$AX$105,B125)</x:f>
        <x:v>15</x:v>
      </x:c>
      <x:c r="F125" s="7" t="n">
        <x:f>IF($B$7=0,"",E125/$B$7)</x:f>
        <x:v>0.6818181818181818</x:v>
      </x:c>
    </x:row>
    <x:row r="126" ht="23" customHeight="1">
      <x:c r="A126" s="6" t="str">
        <x:v>Q48  Would you be willing to participate in or support environmental initiatives in the building?</x:v>
      </x:c>
      <x:c r="B126" s="6" t="str">
        <x:v>No</x:v>
      </x:c>
      <x:c r="C126" s="6" t="n">
        <x:f>COUNTIFS(Responses!$B$6:$B$105,"Actual",Responses!$AX$6:$AX$105,B126)</x:f>
        <x:v>0</x:v>
      </x:c>
      <x:c r="D126" s="7" t="str">
        <x:f>IF($B$6=0,"",C126/$B$6)</x:f>
      </x:c>
      <x:c r="E126" s="6" t="n">
        <x:f>COUNTIFS(Responses!$B$6:$B$105,"Synthetic",Responses!$AX$6:$AX$105,B126)</x:f>
        <x:v>0</x:v>
      </x:c>
      <x:c r="F126" s="7" t="n">
        <x:f>IF($B$7=0,"",E126/$B$7)</x:f>
        <x:v>0</x:v>
      </x:c>
    </x:row>
    <x:row r="127" ht="23" customHeight="1">
      <x:c r="A127" s="6" t="str">
        <x:v>Q48  Would you be willing to participate in or support environmental initiatives in the building?</x:v>
      </x:c>
      <x:c r="B127" s="6" t="str">
        <x:v>Maybe</x:v>
      </x:c>
      <x:c r="C127" s="6" t="n">
        <x:f>COUNTIFS(Responses!$B$6:$B$105,"Actual",Responses!$AX$6:$AX$105,B127)</x:f>
        <x:v>0</x:v>
      </x:c>
      <x:c r="D127" s="7" t="str">
        <x:f>IF($B$6=0,"",C127/$B$6)</x:f>
      </x:c>
      <x:c r="E127" s="6" t="n">
        <x:f>COUNTIFS(Responses!$B$6:$B$105,"Synthetic",Responses!$AX$6:$AX$105,B127)</x:f>
        <x:v>7</x:v>
      </x:c>
      <x:c r="F127" s="7" t="n">
        <x:f>IF($B$7=0,"",E127/$B$7)</x:f>
        <x:v>0.3181818181818182</x:v>
      </x:c>
    </x:row>
  </x:sheetData>
  <x:pageMargins left="0.7" right="0.7" top="0.75" bottom="0.75" header="0.3" footer="0.3"/>
  <x:drawing xmlns:r="http://schemas.openxmlformats.org/officeDocument/2006/relationships" r:id="Re46c44705fa04316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</x:cols>
  <x:sheetData>
    <x:row r="5">
      <x:c r="A5" s="5" t="str">
        <x:v>Case ID</x:v>
      </x:c>
      <x:c r="B5" s="5" t="str">
        <x:v>Record status</x:v>
      </x:c>
      <x:c r="C5" s="5" t="str">
        <x:v>Q1</x:v>
      </x:c>
      <x:c r="D5" s="5" t="str">
        <x:v>Q2</x:v>
      </x:c>
      <x:c r="E5" s="5" t="str">
        <x:v>Q3</x:v>
      </x:c>
      <x:c r="F5" s="5" t="str">
        <x:v>Q4</x:v>
      </x:c>
      <x:c r="G5" s="5" t="str">
        <x:v>Q5</x:v>
      </x:c>
      <x:c r="H5" s="5" t="str">
        <x:v>Q6</x:v>
      </x:c>
      <x:c r="I5" s="5" t="str">
        <x:v>Q7</x:v>
      </x:c>
      <x:c r="J5" s="5" t="str">
        <x:v>Q8</x:v>
      </x:c>
      <x:c r="K5" s="5" t="str">
        <x:v>Q9</x:v>
      </x:c>
      <x:c r="L5" s="5" t="str">
        <x:v>Q10</x:v>
      </x:c>
      <x:c r="M5" s="5" t="str">
        <x:v>Q11</x:v>
      </x:c>
      <x:c r="N5" s="5" t="str">
        <x:v>Q12</x:v>
      </x:c>
      <x:c r="O5" s="5" t="str">
        <x:v>Q13</x:v>
      </x:c>
      <x:c r="P5" s="5" t="str">
        <x:v>Q14</x:v>
      </x:c>
      <x:c r="Q5" s="5" t="str">
        <x:v>Q15</x:v>
      </x:c>
      <x:c r="R5" s="5" t="str">
        <x:v>Q16</x:v>
      </x:c>
      <x:c r="S5" s="5" t="str">
        <x:v>Q17</x:v>
      </x:c>
      <x:c r="T5" s="5" t="str">
        <x:v>Q18</x:v>
      </x:c>
      <x:c r="U5" s="5" t="str">
        <x:v>Q19</x:v>
      </x:c>
      <x:c r="V5" s="5" t="str">
        <x:v>Q20</x:v>
      </x:c>
      <x:c r="W5" s="5" t="str">
        <x:v>Q21</x:v>
      </x:c>
      <x:c r="X5" s="5" t="str">
        <x:v>Q22</x:v>
      </x:c>
      <x:c r="Y5" s="5" t="str">
        <x:v>Q23</x:v>
      </x:c>
      <x:c r="Z5" s="5" t="str">
        <x:v>Q24</x:v>
      </x:c>
      <x:c r="AA5" s="5" t="str">
        <x:v>Q25</x:v>
      </x:c>
      <x:c r="AB5" s="5" t="str">
        <x:v>Q26</x:v>
      </x:c>
      <x:c r="AC5" s="5" t="str">
        <x:v>Q27</x:v>
      </x:c>
      <x:c r="AD5" s="5" t="str">
        <x:v>Q28</x:v>
      </x:c>
      <x:c r="AE5" s="5" t="str">
        <x:v>Q29</x:v>
      </x:c>
      <x:c r="AF5" s="5" t="str">
        <x:v>Q30</x:v>
      </x:c>
      <x:c r="AG5" s="5" t="str">
        <x:v>Q31</x:v>
      </x:c>
      <x:c r="AH5" s="5" t="str">
        <x:v>Q32</x:v>
      </x:c>
      <x:c r="AI5" s="5" t="str">
        <x:v>Q33</x:v>
      </x:c>
      <x:c r="AJ5" s="5" t="str">
        <x:v>Q34</x:v>
      </x:c>
      <x:c r="AK5" s="5" t="str">
        <x:v>Q35</x:v>
      </x:c>
      <x:c r="AL5" s="5" t="str">
        <x:v>Q36</x:v>
      </x:c>
      <x:c r="AM5" s="5" t="str">
        <x:v>Q37</x:v>
      </x:c>
      <x:c r="AN5" s="5" t="str">
        <x:v>Q38</x:v>
      </x:c>
      <x:c r="AO5" s="5" t="str">
        <x:v>Q39</x:v>
      </x:c>
      <x:c r="AP5" s="5" t="str">
        <x:v>Q40</x:v>
      </x:c>
      <x:c r="AQ5" s="5" t="str">
        <x:v>Q41</x:v>
      </x:c>
      <x:c r="AR5" s="5" t="str">
        <x:v>Q42</x:v>
      </x:c>
      <x:c r="AS5" s="5" t="str">
        <x:v>Q43</x:v>
      </x:c>
      <x:c r="AT5" s="5" t="str">
        <x:v>Q44</x:v>
      </x:c>
      <x:c r="AU5" s="5" t="str">
        <x:v>Q45</x:v>
      </x:c>
      <x:c r="AV5" s="5" t="str">
        <x:v>Q46</x:v>
      </x:c>
      <x:c r="AW5" s="5" t="str">
        <x:v>Q47</x:v>
      </x:c>
      <x:c r="AX5" s="5" t="str">
        <x:v>Q48</x:v>
      </x:c>
      <x:c r="AY5" s="5" t="str">
        <x:v>Q49</x:v>
      </x:c>
      <x:c r="AZ5" s="5" t="str">
        <x:v>Q5 code</x:v>
      </x:c>
      <x:c r="BA5" s="5" t="str">
        <x:v>Q7 code</x:v>
      </x:c>
      <x:c r="BB5" s="5" t="str">
        <x:v>Q8 code</x:v>
      </x:c>
      <x:c r="BC5" s="5" t="str">
        <x:v>Q15 code</x:v>
      </x:c>
      <x:c r="BD5" s="5" t="str">
        <x:v>Q17 code</x:v>
      </x:c>
      <x:c r="BE5" s="5" t="str">
        <x:v>Q19 code</x:v>
      </x:c>
      <x:c r="BF5" s="5" t="str">
        <x:v>Q20 code</x:v>
      </x:c>
      <x:c r="BG5" s="5" t="str">
        <x:v>Q26 code</x:v>
      </x:c>
      <x:c r="BH5" s="5" t="str">
        <x:v>Q30 code</x:v>
      </x:c>
      <x:c r="BI5" s="5" t="str">
        <x:v>Q35 code</x:v>
      </x:c>
      <x:c r="BJ5" s="5" t="str">
        <x:v>Q44 code</x:v>
      </x:c>
      <x:c r="BK5" s="5"/>
    </x:row>
    <x:row r="6">
      <x:c r="A6" t="str">
        <x:v>SIM-01</x:v>
      </x:c>
      <x:c r="B6" t="str">
        <x:v>Synthetic</x:v>
      </x:c>
      <x:c r="C6" s="9" t="str">
        <x:v>Student</x:v>
      </x:c>
      <x:c r="D6" s="9" t="str">
        <x:v>Daily</x:v>
      </x:c>
      <x:c r="E6" s="9" t="str">
        <x:v>5–6 hours</x:v>
      </x:c>
      <x:c r="F6" s="9" t="str">
        <x:v>Classroom</x:v>
      </x:c>
      <x:c r="G6" s="9" t="str">
        <x:v>Poor</x:v>
      </x:c>
      <x:c r="H6" s="9" t="str">
        <x:v>Yes—unpleasant odor near some washrooms.</x:v>
      </x:c>
      <x:c r="I6" s="9" t="str">
        <x:v>Poor</x:v>
      </x:c>
      <x:c r="J6" s="9" t="str">
        <x:v>Poor</x:v>
      </x:c>
      <x:c r="K6" s="9" t="str">
        <x:v>Yes</x:v>
      </x:c>
      <x:c r="L6" s="9" t="str">
        <x:v>Occasional noise from nearby construction.</x:v>
      </x:c>
      <x:c r="M6" s="9" t="str">
        <x:v>No persistent indoor smoke observed; occasional dust near ground-floor parking.</x:v>
      </x:c>
      <x:c r="N6" s="9" t="str">
        <x:v>Department corridors and washrooms.</x:v>
      </x:c>
      <x:c r="O6" s="9" t="str">
        <x:v>Yes</x:v>
      </x:c>
      <x:c r="P6" s="9" t="str">
        <x:v>No</x:v>
      </x:c>
      <x:c r="Q6" s="9" t="str">
        <x:v>Poor</x:v>
      </x:c>
      <x:c r="R6" s="9" t="str">
        <x:v>Paper, Plastic, Food waste</x:v>
      </x:c>
      <x:c r="S6" s="9" t="str">
        <x:v>Rarely</x:v>
      </x:c>
      <x:c r="T6" s="9" t="str">
        <x:v>Introduce labeled paper, plastic, and food-waste bins.</x:v>
      </x:c>
      <x:c r="U6" s="9" t="str">
        <x:v>Good</x:v>
      </x:c>
      <x:c r="V6" s="9" t="str">
        <x:v>Poor</x:v>
      </x:c>
      <x:c r="W6" s="9" t="str">
        <x:v>Yes—leaking taps or flushes in washrooms.</x:v>
      </x:c>
      <x:c r="X6" s="9" t="str">
        <x:v>No standing water noticed around the building.</x:v>
      </x:c>
      <x:c r="Y6" s="9" t="str">
        <x:v>Yes</x:v>
      </x:c>
      <x:c r="Z6" s="9" t="str">
        <x:v>Occasional blocked flush and washroom odor.</x:v>
      </x:c>
      <x:c r="AA6" s="9" t="str">
        <x:v>Somewhat</x:v>
      </x:c>
      <x:c r="AB6" s="9" t="str">
        <x:v>Sometimes</x:v>
      </x:c>
      <x:c r="AC6" s="9" t="str">
        <x:v>LED lighting is noticeable; no occupancy sensors noticed. Windows exist but ventilation varies.</x:v>
      </x:c>
      <x:c r="AD6" s="9" t="str">
        <x:v>Install occupancy sensors in suitable rooms and set an AC shutdown routine.</x:v>
      </x:c>
      <x:c r="AE6" s="9" t="str">
        <x:v>Somewhat—online submission can reduce printing.</x:v>
      </x:c>
      <x:c r="AF6" s="9" t="str">
        <x:v>Good</x:v>
      </x:c>
      <x:c r="AG6" s="9" t="str">
        <x:v>Somewhat</x:v>
      </x:c>
      <x:c r="AH6" s="9" t="str">
        <x:v>Rarely</x:v>
      </x:c>
      <x:c r="AI6" s="9" t="str">
        <x:v>Somewhat</x:v>
      </x:c>
      <x:c r="AJ6" s="9" t="str">
        <x:v>Maintain existing greenery and add suitable indoor plants on each floor.</x:v>
      </x:c>
      <x:c r="AK6" s="9" t="str">
        <x:v>Good</x:v>
      </x:c>
      <x:c r="AL6" s="9" t="str">
        <x:v>No</x:v>
      </x:c>
      <x:c r="AM6" s="9" t="str">
        <x:v>Yes</x:v>
      </x:c>
      <x:c r="AN6" s="9" t="str">
        <x:v>Yes</x:v>
      </x:c>
      <x:c r="AO6" s="9" t="str">
        <x:v>Occasional vehicle noise; no major persistent issue noticed.</x:v>
      </x:c>
      <x:c r="AP6" s="9" t="str">
        <x:v>Poor washroom conditions and stuffy corridors may affect comfort.</x:v>
      </x:c>
      <x:c r="AQ6" s="9" t="str">
        <x:v>No</x:v>
      </x:c>
      <x:c r="AR6" s="9" t="str">
        <x:v>Somewhat</x:v>
      </x:c>
      <x:c r="AS6" s="9" t="str">
        <x:v>No specific incident observed.</x:v>
      </x:c>
      <x:c r="AT6" s="9" t="str">
        <x:v>Average</x:v>
      </x:c>
      <x:c r="AU6" s="9" t="str">
        <x:v>Washroom hygiene; weak waste segregation; inefficient electricity use.</x:v>
      </x:c>
      <x:c r="AV6" s="9" t="str">
        <x:v>Washroom hygiene, because it affects daily comfort and water use.</x:v>
      </x:c>
      <x:c r="AW6" s="9" t="str">
        <x:v>Repair taps and flushes; add labeled bins; train occupants on fire safety.</x:v>
      </x:c>
      <x:c r="AX6" s="9" t="str">
        <x:v>Yes</x:v>
      </x:c>
      <x:c r="AY6" s="9" t="str">
        <x:v>A shoe rack by the male prayer room could keep the corridor clear.</x:v>
      </x:c>
      <x:c r="AZ6" s="8" t="n">
        <x:f>IF(G6="","",IF(G6="Very poor",1,IF(G6="Poor",2,IF(G6="Average",3,IF(G6="Good",4,IF(G6="Very good",5,""))))))</x:f>
        <x:v>2</x:v>
      </x:c>
      <x:c r="BA6" s="8" t="n">
        <x:f>IF(I6="","",IF(I6="Very poor",1,IF(I6="Poor",2,IF(I6="Average",3,IF(I6="Good",4,IF(I6="Very good",5,""))))))</x:f>
        <x:v>2</x:v>
      </x:c>
      <x:c r="BB6" s="8" t="n">
        <x:f>IF(J6="","",IF(J6="Very poor",1,IF(J6="Poor",2,IF(J6="Average",3,IF(J6="Good",4,IF(J6="Very good",5,""))))))</x:f>
        <x:v>2</x:v>
      </x:c>
      <x:c r="BC6" s="8" t="n">
        <x:f>IF(Q6="","",IF(Q6="Very poor",1,IF(Q6="Poor",2,IF(Q6="Average",3,IF(Q6="Effective",4,IF(Q6="Very effective",5,""))))))</x:f>
        <x:v>2</x:v>
      </x:c>
      <x:c r="BD6" s="8" t="n">
        <x:f>IF(S6="","",IF(S6="Never",1,IF(S6="Rarely",2,IF(S6="Sometimes",3,IF(S6="Often",4,IF(S6="Always",5,""))))))</x:f>
        <x:v>2</x:v>
      </x:c>
      <x:c r="BE6" s="8" t="n">
        <x:f>IF(U6="","",IF(U6="Very poor",1,IF(U6="Poor",2,IF(U6="Average",3,IF(U6="Good",4,IF(U6="Very good",5,""))))))</x:f>
        <x:v>4</x:v>
      </x:c>
      <x:c r="BF6" s="8" t="n">
        <x:f>IF(V6="","",IF(V6="Very poor",1,IF(V6="Poor",2,IF(V6="Average",3,IF(V6="Good",4,IF(V6="Very good",5,""))))))</x:f>
        <x:v>2</x:v>
      </x:c>
      <x:c r="BG6" s="8" t="n">
        <x:f>IF(AB6="","",IF(AB6="Never",1,IF(AB6="Rarely",2,IF(AB6="Sometimes",3,IF(AB6="Often",4,IF(AB6="Always",5,""))))))</x:f>
        <x:v>3</x:v>
      </x:c>
      <x:c r="BH6" s="8" t="n">
        <x:f>IF(AF6="","",IF(AF6="Very poor",1,IF(AF6="Poor",2,IF(AF6="Average",3,IF(AF6="Good",4,IF(AF6="Very good",5,""))))))</x:f>
        <x:v>4</x:v>
      </x:c>
      <x:c r="BI6" s="8" t="n">
        <x:f>IF(AK6="","",IF(AK6="Very poor",1,IF(AK6="Poor",2,IF(AK6="Average",3,IF(AK6="Good",4,IF(AK6="Very good",5,""))))))</x:f>
        <x:v>4</x:v>
      </x:c>
      <x:c r="BJ6" s="8" t="n">
        <x:f>IF(AT6="","",IF(AT6="Very poor",1,IF(AT6="Poor",2,IF(AT6="Average",3,IF(AT6="Good",4,IF(AT6="Very good",5,""))))))</x:f>
        <x:v>3</x:v>
      </x:c>
      <x:c r="BK6" s="8"/>
    </x:row>
    <x:row r="7">
      <x:c r="A7" t="str">
        <x:v>SIM-02</x:v>
      </x:c>
      <x:c r="B7" t="str">
        <x:v>Synthetic</x:v>
      </x:c>
      <x:c r="C7" s="9" t="str">
        <x:v>Student</x:v>
      </x:c>
      <x:c r="D7" s="9" t="str">
        <x:v>Daily</x:v>
      </x:c>
      <x:c r="E7" s="9" t="str">
        <x:v>3–4 hours</x:v>
      </x:c>
      <x:c r="F7" s="9" t="str">
        <x:v>Classroom</x:v>
      </x:c>
      <x:c r="G7" s="9" t="str">
        <x:v>Average</x:v>
      </x:c>
      <x:c r="H7" s="9" t="str">
        <x:v>Yes—stuffiness in washrooms and nearby corridors.</x:v>
      </x:c>
      <x:c r="I7" s="9" t="str">
        <x:v>Average</x:v>
      </x:c>
      <x:c r="J7" s="9" t="str">
        <x:v>Average</x:v>
      </x:c>
      <x:c r="K7" s="9" t="str">
        <x:v>Somewhat</x:v>
      </x:c>
      <x:c r="L7" s="9" t="str">
        <x:v>No persistent excessive noise; construction can be audible.</x:v>
      </x:c>
      <x:c r="M7" s="9" t="str">
        <x:v>Sometimes dust near the lower level or adjacent construction.</x:v>
      </x:c>
      <x:c r="N7" s="9" t="str">
        <x:v>Open areas near the department and poorly ventilated washrooms.</x:v>
      </x:c>
      <x:c r="O7" s="9" t="str">
        <x:v>Yes</x:v>
      </x:c>
      <x:c r="P7" s="9" t="str">
        <x:v>No</x:v>
      </x:c>
      <x:c r="Q7" s="9" t="str">
        <x:v>Very poor</x:v>
      </x:c>
      <x:c r="R7" s="9" t="str">
        <x:v>Paper, Plastic, Food waste</x:v>
      </x:c>
      <x:c r="S7" s="9" t="str">
        <x:v>Never</x:v>
      </x:c>
      <x:c r="T7" s="9" t="str">
        <x:v>Separate cafeteria food waste for composting and label the bins.</x:v>
      </x:c>
      <x:c r="U7" s="9" t="str">
        <x:v>Very good</x:v>
      </x:c>
      <x:c r="V7" s="9" t="str">
        <x:v>Very poor</x:v>
      </x:c>
      <x:c r="W7" s="9" t="str">
        <x:v>Sometimes—running taps in washrooms.</x:v>
      </x:c>
      <x:c r="X7" s="9" t="str">
        <x:v>No standing water noticed around the building.</x:v>
      </x:c>
      <x:c r="Y7" s="9" t="str">
        <x:v>Yes</x:v>
      </x:c>
      <x:c r="Z7" s="9" t="str">
        <x:v>Clogging and delayed cleaning in some washrooms.</x:v>
      </x:c>
      <x:c r="AA7" s="9" t="str">
        <x:v>No</x:v>
      </x:c>
      <x:c r="AB7" s="9" t="str">
        <x:v>Often</x:v>
      </x:c>
      <x:c r="AC7" s="9" t="str">
        <x:v>LED lighting is noticeable; no occupancy sensors noticed. Windows exist but ventilation varies.</x:v>
      </x:c>
      <x:c r="AD7" s="9" t="str">
        <x:v>Put switch-off reminders at classroom exits and use a closing checklist.</x:v>
      </x:c>
      <x:c r="AE7" s="9" t="str">
        <x:v>Yes for most work, though double-sided printing could improve use.</x:v>
      </x:c>
      <x:c r="AF7" s="9" t="str">
        <x:v>Good</x:v>
      </x:c>
      <x:c r="AG7" s="9" t="str">
        <x:v>Yes</x:v>
      </x:c>
      <x:c r="AH7" s="9" t="str">
        <x:v>No</x:v>
      </x:c>
      <x:c r="AI7" s="9" t="str">
        <x:v>No</x:v>
      </x:c>
      <x:c r="AJ7" s="9" t="str">
        <x:v>Add planters near corridors and increase shade in outdoor seating.</x:v>
      </x:c>
      <x:c r="AK7" s="9" t="str">
        <x:v>Good</x:v>
      </x:c>
      <x:c r="AL7" s="9" t="str">
        <x:v>No</x:v>
      </x:c>
      <x:c r="AM7" s="9" t="str">
        <x:v>Yes</x:v>
      </x:c>
      <x:c r="AN7" s="9" t="str">
        <x:v>Somewhat</x:v>
      </x:c>
      <x:c r="AO7" s="9" t="str">
        <x:v>Minor noise near parking at busy times.</x:v>
      </x:c>
      <x:c r="AP7" s="9" t="str">
        <x:v>Occasional construction noise affects comfort.</x:v>
      </x:c>
      <x:c r="AQ7" s="9" t="str">
        <x:v>Somewhat</x:v>
      </x:c>
      <x:c r="AR7" s="9" t="str">
        <x:v>No</x:v>
      </x:c>
      <x:c r="AS7" s="9" t="str">
        <x:v>Observed a leaking tap; no emergency incident.</x:v>
      </x:c>
      <x:c r="AT7" s="9" t="str">
        <x:v>Poor</x:v>
      </x:c>
      <x:c r="AU7" s="9" t="str">
        <x:v>Washroom ventilation; unclear fire evacuation information; waste mixing.</x:v>
      </x:c>
      <x:c r="AV7" s="9" t="str">
        <x:v>Fire route signs and practical training, because users need clear instructions.</x:v>
      </x:c>
      <x:c r="AW7" s="9" t="str">
        <x:v>Introduce room shutdown checks, separate waste, and maintain washrooms.</x:v>
      </x:c>
      <x:c r="AX7" s="9" t="str">
        <x:v>Yes</x:v>
      </x:c>
      <x:c r="AY7" s="9" t="str">
        <x:v>Consider an exhaust fan for the male prayer room and a shoe rack outside.</x:v>
      </x:c>
      <x:c r="AZ7" s="8" t="n">
        <x:f>IF(G7="","",IF(G7="Very poor",1,IF(G7="Poor",2,IF(G7="Average",3,IF(G7="Good",4,IF(G7="Very good",5,""))))))</x:f>
        <x:v>3</x:v>
      </x:c>
      <x:c r="BA7" s="8" t="n">
        <x:f>IF(I7="","",IF(I7="Very poor",1,IF(I7="Poor",2,IF(I7="Average",3,IF(I7="Good",4,IF(I7="Very good",5,""))))))</x:f>
        <x:v>3</x:v>
      </x:c>
      <x:c r="BB7" s="8" t="n">
        <x:f>IF(J7="","",IF(J7="Very poor",1,IF(J7="Poor",2,IF(J7="Average",3,IF(J7="Good",4,IF(J7="Very good",5,""))))))</x:f>
        <x:v>3</x:v>
      </x:c>
      <x:c r="BC7" s="8" t="n">
        <x:f>IF(Q7="","",IF(Q7="Very poor",1,IF(Q7="Poor",2,IF(Q7="Average",3,IF(Q7="Effective",4,IF(Q7="Very effective",5,""))))))</x:f>
        <x:v>1</x:v>
      </x:c>
      <x:c r="BD7" s="8" t="n">
        <x:f>IF(S7="","",IF(S7="Never",1,IF(S7="Rarely",2,IF(S7="Sometimes",3,IF(S7="Often",4,IF(S7="Always",5,""))))))</x:f>
        <x:v>1</x:v>
      </x:c>
      <x:c r="BE7" s="8" t="n">
        <x:f>IF(U7="","",IF(U7="Very poor",1,IF(U7="Poor",2,IF(U7="Average",3,IF(U7="Good",4,IF(U7="Very good",5,""))))))</x:f>
        <x:v>5</x:v>
      </x:c>
      <x:c r="BF7" s="8" t="n">
        <x:f>IF(V7="","",IF(V7="Very poor",1,IF(V7="Poor",2,IF(V7="Average",3,IF(V7="Good",4,IF(V7="Very good",5,""))))))</x:f>
        <x:v>1</x:v>
      </x:c>
      <x:c r="BG7" s="8" t="n">
        <x:f>IF(AB7="","",IF(AB7="Never",1,IF(AB7="Rarely",2,IF(AB7="Sometimes",3,IF(AB7="Often",4,IF(AB7="Always",5,""))))))</x:f>
        <x:v>4</x:v>
      </x:c>
      <x:c r="BH7" s="8" t="n">
        <x:f>IF(AF7="","",IF(AF7="Very poor",1,IF(AF7="Poor",2,IF(AF7="Average",3,IF(AF7="Good",4,IF(AF7="Very good",5,""))))))</x:f>
        <x:v>4</x:v>
      </x:c>
      <x:c r="BI7" s="8" t="n">
        <x:f>IF(AK7="","",IF(AK7="Very poor",1,IF(AK7="Poor",2,IF(AK7="Average",3,IF(AK7="Good",4,IF(AK7="Very good",5,""))))))</x:f>
        <x:v>4</x:v>
      </x:c>
      <x:c r="BJ7" s="8" t="n">
        <x:f>IF(AT7="","",IF(AT7="Very poor",1,IF(AT7="Poor",2,IF(AT7="Average",3,IF(AT7="Good",4,IF(AT7="Very good",5,""))))))</x:f>
        <x:v>2</x:v>
      </x:c>
      <x:c r="BK7" s="8"/>
    </x:row>
    <x:row r="8">
      <x:c r="A8" t="str">
        <x:v>SIM-03</x:v>
      </x:c>
      <x:c r="B8" t="str">
        <x:v>Synthetic</x:v>
      </x:c>
      <x:c r="C8" s="9" t="str">
        <x:v>Student</x:v>
      </x:c>
      <x:c r="D8" s="9" t="str">
        <x:v>Daily</x:v>
      </x:c>
      <x:c r="E8" s="9" t="str">
        <x:v>5–6 hours</x:v>
      </x:c>
      <x:c r="F8" s="9" t="str">
        <x:v>Classroom</x:v>
      </x:c>
      <x:c r="G8" s="9" t="str">
        <x:v>Poor</x:v>
      </x:c>
      <x:c r="H8" s="9" t="str">
        <x:v>Sometimes; washrooms are the main concern.</x:v>
      </x:c>
      <x:c r="I8" s="9" t="str">
        <x:v>Very poor</x:v>
      </x:c>
      <x:c r="J8" s="9" t="str">
        <x:v>Poor</x:v>
      </x:c>
      <x:c r="K8" s="9" t="str">
        <x:v>Yes</x:v>
      </x:c>
      <x:c r="L8" s="9" t="str">
        <x:v>Construction noise is noticeable at times.</x:v>
      </x:c>
      <x:c r="M8" s="9" t="str">
        <x:v>No obvious indoor pollution observed.</x:v>
      </x:c>
      <x:c r="N8" s="9" t="str">
        <x:v>Ground-floor corridor and washroom areas.</x:v>
      </x:c>
      <x:c r="O8" s="9" t="str">
        <x:v>Yes</x:v>
      </x:c>
      <x:c r="P8" s="9" t="str">
        <x:v>No</x:v>
      </x:c>
      <x:c r="Q8" s="9" t="str">
        <x:v>Poor</x:v>
      </x:c>
      <x:c r="R8" s="9" t="str">
        <x:v>Paper, Plastic, Food waste</x:v>
      </x:c>
      <x:c r="S8" s="9" t="str">
        <x:v>Rarely</x:v>
      </x:c>
      <x:c r="T8" s="9" t="str">
        <x:v>Add clear sorting signs and brief user awareness messages.</x:v>
      </x:c>
      <x:c r="U8" s="9" t="str">
        <x:v>Good</x:v>
      </x:c>
      <x:c r="V8" s="9" t="str">
        <x:v>Average</x:v>
      </x:c>
      <x:c r="W8" s="9" t="str">
        <x:v>Yes—occasional water wastage near washbasins.</x:v>
      </x:c>
      <x:c r="X8" s="9" t="str">
        <x:v>No standing water noticed around the building.</x:v>
      </x:c>
      <x:c r="Y8" s="9" t="str">
        <x:v>Somewhat</x:v>
      </x:c>
      <x:c r="Z8" s="9" t="str">
        <x:v>Leaking taps and occasional flush problems.</x:v>
      </x:c>
      <x:c r="AA8" s="9" t="str">
        <x:v>Somewhat</x:v>
      </x:c>
      <x:c r="AB8" s="9" t="str">
        <x:v>Sometimes</x:v>
      </x:c>
      <x:c r="AC8" s="9" t="str">
        <x:v>LED lighting is noticeable; no occupancy sensors noticed. Windows exist but ventilation varies.</x:v>
      </x:c>
      <x:c r="AD8" s="9" t="str">
        <x:v>Service AC units and switch off lights and fans after use.</x:v>
      </x:c>
      <x:c r="AE8" s="9" t="str">
        <x:v>Somewhat—reuse one-sided paper for internal drafts.</x:v>
      </x:c>
      <x:c r="AF8" s="9" t="str">
        <x:v>Very good</x:v>
      </x:c>
      <x:c r="AG8" s="9" t="str">
        <x:v>Somewhat</x:v>
      </x:c>
      <x:c r="AH8" s="9" t="str">
        <x:v>Rarely</x:v>
      </x:c>
      <x:c r="AI8" s="9" t="str">
        <x:v>Somewhat</x:v>
      </x:c>
      <x:c r="AJ8" s="9" t="str">
        <x:v>Care for existing trees and introduce low-maintenance floor planters.</x:v>
      </x:c>
      <x:c r="AK8" s="9" t="str">
        <x:v>Average</x:v>
      </x:c>
      <x:c r="AL8" s="9" t="str">
        <x:v>Somewhat</x:v>
      </x:c>
      <x:c r="AM8" s="9" t="str">
        <x:v>Somewhat</x:v>
      </x:c>
      <x:c r="AN8" s="9" t="str">
        <x:v>Yes</x:v>
      </x:c>
      <x:c r="AO8" s="9" t="str">
        <x:v>No major transport-related problem noticed.</x:v>
      </x:c>
      <x:c r="AP8" s="9" t="str">
        <x:v>Washroom odor can reduce comfort; no other major issue noticed.</x:v>
      </x:c>
      <x:c r="AQ8" s="9" t="str">
        <x:v>No</x:v>
      </x:c>
      <x:c r="AR8" s="9" t="str">
        <x:v>Somewhat</x:v>
      </x:c>
      <x:c r="AS8" s="9" t="str">
        <x:v>Occasional AC condensate leakage; no major incident.</x:v>
      </x:c>
      <x:c r="AT8" s="9" t="str">
        <x:v>Average</x:v>
      </x:c>
      <x:c r="AU8" s="9" t="str">
        <x:v>Water leakage; stuffy corridors; insufficient waste sorting.</x:v>
      </x:c>
      <x:c r="AV8" s="9" t="str">
        <x:v>Repair water leakage to reduce wastage and improve sanitation.</x:v>
      </x:c>
      <x:c r="AW8" s="9" t="str">
        <x:v>Post evacuation maps, improve washroom cleaning, and add indoor plants.</x:v>
      </x:c>
      <x:c r="AX8" s="9" t="str">
        <x:v>Maybe</x:v>
      </x:c>
      <x:c r="AY8" s="9" t="str">
        <x:v>Check AC water leakage and keep nearby floors dry.</x:v>
      </x:c>
      <x:c r="AZ8" s="8" t="n">
        <x:f>IF(G8="","",IF(G8="Very poor",1,IF(G8="Poor",2,IF(G8="Average",3,IF(G8="Good",4,IF(G8="Very good",5,""))))))</x:f>
        <x:v>2</x:v>
      </x:c>
      <x:c r="BA8" s="8" t="n">
        <x:f>IF(I8="","",IF(I8="Very poor",1,IF(I8="Poor",2,IF(I8="Average",3,IF(I8="Good",4,IF(I8="Very good",5,""))))))</x:f>
        <x:v>1</x:v>
      </x:c>
      <x:c r="BB8" s="8" t="n">
        <x:f>IF(J8="","",IF(J8="Very poor",1,IF(J8="Poor",2,IF(J8="Average",3,IF(J8="Good",4,IF(J8="Very good",5,""))))))</x:f>
        <x:v>2</x:v>
      </x:c>
      <x:c r="BC8" s="8" t="n">
        <x:f>IF(Q8="","",IF(Q8="Very poor",1,IF(Q8="Poor",2,IF(Q8="Average",3,IF(Q8="Effective",4,IF(Q8="Very effective",5,""))))))</x:f>
        <x:v>2</x:v>
      </x:c>
      <x:c r="BD8" s="8" t="n">
        <x:f>IF(S8="","",IF(S8="Never",1,IF(S8="Rarely",2,IF(S8="Sometimes",3,IF(S8="Often",4,IF(S8="Always",5,""))))))</x:f>
        <x:v>2</x:v>
      </x:c>
      <x:c r="BE8" s="8" t="n">
        <x:f>IF(U8="","",IF(U8="Very poor",1,IF(U8="Poor",2,IF(U8="Average",3,IF(U8="Good",4,IF(U8="Very good",5,""))))))</x:f>
        <x:v>4</x:v>
      </x:c>
      <x:c r="BF8" s="8" t="n">
        <x:f>IF(V8="","",IF(V8="Very poor",1,IF(V8="Poor",2,IF(V8="Average",3,IF(V8="Good",4,IF(V8="Very good",5,""))))))</x:f>
        <x:v>3</x:v>
      </x:c>
      <x:c r="BG8" s="8" t="n">
        <x:f>IF(AB8="","",IF(AB8="Never",1,IF(AB8="Rarely",2,IF(AB8="Sometimes",3,IF(AB8="Often",4,IF(AB8="Always",5,""))))))</x:f>
        <x:v>3</x:v>
      </x:c>
      <x:c r="BH8" s="8" t="n">
        <x:f>IF(AF8="","",IF(AF8="Very poor",1,IF(AF8="Poor",2,IF(AF8="Average",3,IF(AF8="Good",4,IF(AF8="Very good",5,""))))))</x:f>
        <x:v>5</x:v>
      </x:c>
      <x:c r="BI8" s="8" t="n">
        <x:f>IF(AK8="","",IF(AK8="Very poor",1,IF(AK8="Poor",2,IF(AK8="Average",3,IF(AK8="Good",4,IF(AK8="Very good",5,""))))))</x:f>
        <x:v>3</x:v>
      </x:c>
      <x:c r="BJ8" s="8" t="n">
        <x:f>IF(AT8="","",IF(AT8="Very poor",1,IF(AT8="Poor",2,IF(AT8="Average",3,IF(AT8="Good",4,IF(AT8="Very good",5,""))))))</x:f>
        <x:v>3</x:v>
      </x:c>
      <x:c r="BK8" s="8"/>
    </x:row>
    <x:row r="9">
      <x:c r="A9" t="str">
        <x:v>SIM-04</x:v>
      </x:c>
      <x:c r="B9" t="str">
        <x:v>Synthetic</x:v>
      </x:c>
      <x:c r="C9" s="9" t="str">
        <x:v>Student</x:v>
      </x:c>
      <x:c r="D9" s="9" t="str">
        <x:v>Daily</x:v>
      </x:c>
      <x:c r="E9" s="9" t="str">
        <x:v>3–4 hours</x:v>
      </x:c>
      <x:c r="F9" s="9" t="str">
        <x:v>Classroom</x:v>
      </x:c>
      <x:c r="G9" s="9" t="str">
        <x:v>Very poor</x:v>
      </x:c>
      <x:c r="H9" s="9" t="str">
        <x:v>Yes—limited air movement near department corridors.</x:v>
      </x:c>
      <x:c r="I9" s="9" t="str">
        <x:v>Poor</x:v>
      </x:c>
      <x:c r="J9" s="9" t="str">
        <x:v>Very poor</x:v>
      </x:c>
      <x:c r="K9" s="9" t="str">
        <x:v>Somewhat</x:v>
      </x:c>
      <x:c r="L9" s="9" t="str">
        <x:v>Occasional noise from nearby construction.</x:v>
      </x:c>
      <x:c r="M9" s="9" t="str">
        <x:v>No persistent indoor smoke observed; occasional dust near ground-floor parking.</x:v>
      </x:c>
      <x:c r="N9" s="9" t="str">
        <x:v>Department corridors and washrooms.</x:v>
      </x:c>
      <x:c r="O9" s="9" t="str">
        <x:v>Yes</x:v>
      </x:c>
      <x:c r="P9" s="9" t="str">
        <x:v>No</x:v>
      </x:c>
      <x:c r="Q9" s="9" t="str">
        <x:v>Very poor</x:v>
      </x:c>
      <x:c r="R9" s="9" t="str">
        <x:v>Paper, Plastic, Food waste</x:v>
      </x:c>
      <x:c r="S9" s="9" t="str">
        <x:v>Sometimes</x:v>
      </x:c>
      <x:c r="T9" s="9" t="str">
        <x:v>Introduce labeled paper, plastic, and food-waste bins.</x:v>
      </x:c>
      <x:c r="U9" s="9" t="str">
        <x:v>Good</x:v>
      </x:c>
      <x:c r="V9" s="9" t="str">
        <x:v>Poor</x:v>
      </x:c>
      <x:c r="W9" s="9" t="str">
        <x:v>Yes—leaking taps or flushes in washrooms.</x:v>
      </x:c>
      <x:c r="X9" s="9" t="str">
        <x:v>No standing water noticed around the building.</x:v>
      </x:c>
      <x:c r="Y9" s="9" t="str">
        <x:v>Yes</x:v>
      </x:c>
      <x:c r="Z9" s="9" t="str">
        <x:v>Occasional blocked flush and washroom odor.</x:v>
      </x:c>
      <x:c r="AA9" s="9" t="str">
        <x:v>Yes</x:v>
      </x:c>
      <x:c r="AB9" s="9" t="str">
        <x:v>Sometimes</x:v>
      </x:c>
      <x:c r="AC9" s="9" t="str">
        <x:v>LED lighting is noticeable; no occupancy sensors noticed. Windows exist but ventilation varies.</x:v>
      </x:c>
      <x:c r="AD9" s="9" t="str">
        <x:v>Install occupancy sensors in suitable rooms and set an AC shutdown routine.</x:v>
      </x:c>
      <x:c r="AE9" s="9" t="str">
        <x:v>Somewhat—online submission can reduce printing.</x:v>
      </x:c>
      <x:c r="AF9" s="9" t="str">
        <x:v>Average</x:v>
      </x:c>
      <x:c r="AG9" s="9" t="str">
        <x:v>Somewhat</x:v>
      </x:c>
      <x:c r="AH9" s="9" t="str">
        <x:v>Rarely</x:v>
      </x:c>
      <x:c r="AI9" s="9" t="str">
        <x:v>Somewhat</x:v>
      </x:c>
      <x:c r="AJ9" s="9" t="str">
        <x:v>Maintain existing greenery and add suitable indoor plants on each floor.</x:v>
      </x:c>
      <x:c r="AK9" s="9" t="str">
        <x:v>Good</x:v>
      </x:c>
      <x:c r="AL9" s="9" t="str">
        <x:v>No</x:v>
      </x:c>
      <x:c r="AM9" s="9" t="str">
        <x:v>Yes</x:v>
      </x:c>
      <x:c r="AN9" s="9" t="str">
        <x:v>Yes</x:v>
      </x:c>
      <x:c r="AO9" s="9" t="str">
        <x:v>Occasional vehicle noise; no major persistent issue noticed.</x:v>
      </x:c>
      <x:c r="AP9" s="9" t="str">
        <x:v>Poor washroom conditions and stuffy corridors may affect comfort.</x:v>
      </x:c>
      <x:c r="AQ9" s="9" t="str">
        <x:v>No</x:v>
      </x:c>
      <x:c r="AR9" s="9" t="str">
        <x:v>Somewhat</x:v>
      </x:c>
      <x:c r="AS9" s="9" t="str">
        <x:v>No specific incident observed.</x:v>
      </x:c>
      <x:c r="AT9" s="9" t="str">
        <x:v>Average</x:v>
      </x:c>
      <x:c r="AU9" s="9" t="str">
        <x:v>Washroom hygiene; weak waste segregation; inefficient electricity use.</x:v>
      </x:c>
      <x:c r="AV9" s="9" t="str">
        <x:v>Washroom hygiene, because it affects daily comfort and water use.</x:v>
      </x:c>
      <x:c r="AW9" s="9" t="str">
        <x:v>Repair taps and flushes; add labeled bins; train occupants on fire safety.</x:v>
      </x:c>
      <x:c r="AX9" s="9" t="str">
        <x:v>Yes</x:v>
      </x:c>
      <x:c r="AY9" s="9" t="str">
        <x:v>A shoe rack by the male prayer room could keep the corridor clear.</x:v>
      </x:c>
      <x:c r="AZ9" s="8" t="n">
        <x:f>IF(G9="","",IF(G9="Very poor",1,IF(G9="Poor",2,IF(G9="Average",3,IF(G9="Good",4,IF(G9="Very good",5,""))))))</x:f>
        <x:v>1</x:v>
      </x:c>
      <x:c r="BA9" s="8" t="n">
        <x:f>IF(I9="","",IF(I9="Very poor",1,IF(I9="Poor",2,IF(I9="Average",3,IF(I9="Good",4,IF(I9="Very good",5,""))))))</x:f>
        <x:v>2</x:v>
      </x:c>
      <x:c r="BB9" s="8" t="n">
        <x:f>IF(J9="","",IF(J9="Very poor",1,IF(J9="Poor",2,IF(J9="Average",3,IF(J9="Good",4,IF(J9="Very good",5,""))))))</x:f>
        <x:v>1</x:v>
      </x:c>
      <x:c r="BC9" s="8" t="n">
        <x:f>IF(Q9="","",IF(Q9="Very poor",1,IF(Q9="Poor",2,IF(Q9="Average",3,IF(Q9="Effective",4,IF(Q9="Very effective",5,""))))))</x:f>
        <x:v>1</x:v>
      </x:c>
      <x:c r="BD9" s="8" t="n">
        <x:f>IF(S9="","",IF(S9="Never",1,IF(S9="Rarely",2,IF(S9="Sometimes",3,IF(S9="Often",4,IF(S9="Always",5,""))))))</x:f>
        <x:v>3</x:v>
      </x:c>
      <x:c r="BE9" s="8" t="n">
        <x:f>IF(U9="","",IF(U9="Very poor",1,IF(U9="Poor",2,IF(U9="Average",3,IF(U9="Good",4,IF(U9="Very good",5,""))))))</x:f>
        <x:v>4</x:v>
      </x:c>
      <x:c r="BF9" s="8" t="n">
        <x:f>IF(V9="","",IF(V9="Very poor",1,IF(V9="Poor",2,IF(V9="Average",3,IF(V9="Good",4,IF(V9="Very good",5,""))))))</x:f>
        <x:v>2</x:v>
      </x:c>
      <x:c r="BG9" s="8" t="n">
        <x:f>IF(AB9="","",IF(AB9="Never",1,IF(AB9="Rarely",2,IF(AB9="Sometimes",3,IF(AB9="Often",4,IF(AB9="Always",5,""))))))</x:f>
        <x:v>3</x:v>
      </x:c>
      <x:c r="BH9" s="8" t="n">
        <x:f>IF(AF9="","",IF(AF9="Very poor",1,IF(AF9="Poor",2,IF(AF9="Average",3,IF(AF9="Good",4,IF(AF9="Very good",5,""))))))</x:f>
        <x:v>3</x:v>
      </x:c>
      <x:c r="BI9" s="8" t="n">
        <x:f>IF(AK9="","",IF(AK9="Very poor",1,IF(AK9="Poor",2,IF(AK9="Average",3,IF(AK9="Good",4,IF(AK9="Very good",5,""))))))</x:f>
        <x:v>4</x:v>
      </x:c>
      <x:c r="BJ9" s="8" t="n">
        <x:f>IF(AT9="","",IF(AT9="Very poor",1,IF(AT9="Poor",2,IF(AT9="Average",3,IF(AT9="Good",4,IF(AT9="Very good",5,""))))))</x:f>
        <x:v>3</x:v>
      </x:c>
      <x:c r="BK9" s="8"/>
    </x:row>
    <x:row r="10">
      <x:c r="A10" t="str">
        <x:v>SIM-05</x:v>
      </x:c>
      <x:c r="B10" t="str">
        <x:v>Synthetic</x:v>
      </x:c>
      <x:c r="C10" s="9" t="str">
        <x:v>Student</x:v>
      </x:c>
      <x:c r="D10" s="9" t="str">
        <x:v>Several times a week</x:v>
      </x:c>
      <x:c r="E10" s="9" t="str">
        <x:v>5–6 hours</x:v>
      </x:c>
      <x:c r="F10" s="9" t="str">
        <x:v>Cafeteria</x:v>
      </x:c>
      <x:c r="G10" s="9" t="str">
        <x:v>Average</x:v>
      </x:c>
      <x:c r="H10" s="9" t="str">
        <x:v>Yes—unpleasant odor near some washrooms.</x:v>
      </x:c>
      <x:c r="I10" s="9" t="str">
        <x:v>Average</x:v>
      </x:c>
      <x:c r="J10" s="9" t="str">
        <x:v>Average</x:v>
      </x:c>
      <x:c r="K10" s="9" t="str">
        <x:v>Yes</x:v>
      </x:c>
      <x:c r="L10" s="9" t="str">
        <x:v>No persistent excessive noise; construction can be audible.</x:v>
      </x:c>
      <x:c r="M10" s="9" t="str">
        <x:v>Sometimes dust near the lower level or adjacent construction.</x:v>
      </x:c>
      <x:c r="N10" s="9" t="str">
        <x:v>Open areas near the department and poorly ventilated washrooms.</x:v>
      </x:c>
      <x:c r="O10" s="9" t="str">
        <x:v>Yes</x:v>
      </x:c>
      <x:c r="P10" s="9" t="str">
        <x:v>No</x:v>
      </x:c>
      <x:c r="Q10" s="9" t="str">
        <x:v>Poor</x:v>
      </x:c>
      <x:c r="R10" s="9" t="str">
        <x:v>Paper, Plastic, Food waste</x:v>
      </x:c>
      <x:c r="S10" s="9" t="str">
        <x:v>Rarely</x:v>
      </x:c>
      <x:c r="T10" s="9" t="str">
        <x:v>Separate cafeteria food waste for composting and label the bins.</x:v>
      </x:c>
      <x:c r="U10" s="9" t="str">
        <x:v>Good</x:v>
      </x:c>
      <x:c r="V10" s="9" t="str">
        <x:v>Poor</x:v>
      </x:c>
      <x:c r="W10" s="9" t="str">
        <x:v>Sometimes—running taps in washrooms.</x:v>
      </x:c>
      <x:c r="X10" s="9" t="str">
        <x:v>No standing water noticed around the building.</x:v>
      </x:c>
      <x:c r="Y10" s="9" t="str">
        <x:v>Yes</x:v>
      </x:c>
      <x:c r="Z10" s="9" t="str">
        <x:v>Clogging and delayed cleaning in some washrooms.</x:v>
      </x:c>
      <x:c r="AA10" s="9" t="str">
        <x:v>Somewhat</x:v>
      </x:c>
      <x:c r="AB10" s="9" t="str">
        <x:v>Sometimes</x:v>
      </x:c>
      <x:c r="AC10" s="9" t="str">
        <x:v>LED lighting is noticeable; no occupancy sensors noticed. Windows exist but ventilation varies.</x:v>
      </x:c>
      <x:c r="AD10" s="9" t="str">
        <x:v>Put switch-off reminders at classroom exits and use a closing checklist.</x:v>
      </x:c>
      <x:c r="AE10" s="9" t="str">
        <x:v>Yes for most work, though double-sided printing could improve use.</x:v>
      </x:c>
      <x:c r="AF10" s="9" t="str">
        <x:v>Good</x:v>
      </x:c>
      <x:c r="AG10" s="9" t="str">
        <x:v>Yes</x:v>
      </x:c>
      <x:c r="AH10" s="9" t="str">
        <x:v>No</x:v>
      </x:c>
      <x:c r="AI10" s="9" t="str">
        <x:v>No</x:v>
      </x:c>
      <x:c r="AJ10" s="9" t="str">
        <x:v>Add planters near corridors and increase shade in outdoor seating.</x:v>
      </x:c>
      <x:c r="AK10" s="9" t="str">
        <x:v>Good</x:v>
      </x:c>
      <x:c r="AL10" s="9" t="str">
        <x:v>No</x:v>
      </x:c>
      <x:c r="AM10" s="9" t="str">
        <x:v>Yes</x:v>
      </x:c>
      <x:c r="AN10" s="9" t="str">
        <x:v>Somewhat</x:v>
      </x:c>
      <x:c r="AO10" s="9" t="str">
        <x:v>Minor noise near parking at busy times.</x:v>
      </x:c>
      <x:c r="AP10" s="9" t="str">
        <x:v>Occasional construction noise affects comfort.</x:v>
      </x:c>
      <x:c r="AQ10" s="9" t="str">
        <x:v>Somewhat</x:v>
      </x:c>
      <x:c r="AR10" s="9" t="str">
        <x:v>No</x:v>
      </x:c>
      <x:c r="AS10" s="9" t="str">
        <x:v>Observed a leaking tap; no emergency incident.</x:v>
      </x:c>
      <x:c r="AT10" s="9" t="str">
        <x:v>Poor</x:v>
      </x:c>
      <x:c r="AU10" s="9" t="str">
        <x:v>Washroom ventilation; unclear fire evacuation information; waste mixing.</x:v>
      </x:c>
      <x:c r="AV10" s="9" t="str">
        <x:v>Fire route signs and practical training, because users need clear instructions.</x:v>
      </x:c>
      <x:c r="AW10" s="9" t="str">
        <x:v>Introduce room shutdown checks, separate waste, and maintain washrooms.</x:v>
      </x:c>
      <x:c r="AX10" s="9" t="str">
        <x:v>Yes</x:v>
      </x:c>
      <x:c r="AY10" s="9" t="str">
        <x:v>Consider an exhaust fan for the male prayer room and a shoe rack outside.</x:v>
      </x:c>
      <x:c r="AZ10" s="8" t="n">
        <x:f>IF(G10="","",IF(G10="Very poor",1,IF(G10="Poor",2,IF(G10="Average",3,IF(G10="Good",4,IF(G10="Very good",5,""))))))</x:f>
        <x:v>3</x:v>
      </x:c>
      <x:c r="BA10" s="8" t="n">
        <x:f>IF(I10="","",IF(I10="Very poor",1,IF(I10="Poor",2,IF(I10="Average",3,IF(I10="Good",4,IF(I10="Very good",5,""))))))</x:f>
        <x:v>3</x:v>
      </x:c>
      <x:c r="BB10" s="8" t="n">
        <x:f>IF(J10="","",IF(J10="Very poor",1,IF(J10="Poor",2,IF(J10="Average",3,IF(J10="Good",4,IF(J10="Very good",5,""))))))</x:f>
        <x:v>3</x:v>
      </x:c>
      <x:c r="BC10" s="8" t="n">
        <x:f>IF(Q10="","",IF(Q10="Very poor",1,IF(Q10="Poor",2,IF(Q10="Average",3,IF(Q10="Effective",4,IF(Q10="Very effective",5,""))))))</x:f>
        <x:v>2</x:v>
      </x:c>
      <x:c r="BD10" s="8" t="n">
        <x:f>IF(S10="","",IF(S10="Never",1,IF(S10="Rarely",2,IF(S10="Sometimes",3,IF(S10="Often",4,IF(S10="Always",5,""))))))</x:f>
        <x:v>2</x:v>
      </x:c>
      <x:c r="BE10" s="8" t="n">
        <x:f>IF(U10="","",IF(U10="Very poor",1,IF(U10="Poor",2,IF(U10="Average",3,IF(U10="Good",4,IF(U10="Very good",5,""))))))</x:f>
        <x:v>4</x:v>
      </x:c>
      <x:c r="BF10" s="8" t="n">
        <x:f>IF(V10="","",IF(V10="Very poor",1,IF(V10="Poor",2,IF(V10="Average",3,IF(V10="Good",4,IF(V10="Very good",5,""))))))</x:f>
        <x:v>2</x:v>
      </x:c>
      <x:c r="BG10" s="8" t="n">
        <x:f>IF(AB10="","",IF(AB10="Never",1,IF(AB10="Rarely",2,IF(AB10="Sometimes",3,IF(AB10="Often",4,IF(AB10="Always",5,""))))))</x:f>
        <x:v>3</x:v>
      </x:c>
      <x:c r="BH10" s="8" t="n">
        <x:f>IF(AF10="","",IF(AF10="Very poor",1,IF(AF10="Poor",2,IF(AF10="Average",3,IF(AF10="Good",4,IF(AF10="Very good",5,""))))))</x:f>
        <x:v>4</x:v>
      </x:c>
      <x:c r="BI10" s="8" t="n">
        <x:f>IF(AK10="","",IF(AK10="Very poor",1,IF(AK10="Poor",2,IF(AK10="Average",3,IF(AK10="Good",4,IF(AK10="Very good",5,""))))))</x:f>
        <x:v>4</x:v>
      </x:c>
      <x:c r="BJ10" s="8" t="n">
        <x:f>IF(AT10="","",IF(AT10="Very poor",1,IF(AT10="Poor",2,IF(AT10="Average",3,IF(AT10="Good",4,IF(AT10="Very good",5,""))))))</x:f>
        <x:v>2</x:v>
      </x:c>
      <x:c r="BK10" s="8"/>
    </x:row>
    <x:row r="11">
      <x:c r="A11" t="str">
        <x:v>SIM-06</x:v>
      </x:c>
      <x:c r="B11" t="str">
        <x:v>Synthetic</x:v>
      </x:c>
      <x:c r="C11" s="9" t="str">
        <x:v>Student</x:v>
      </x:c>
      <x:c r="D11" s="9" t="str">
        <x:v>Several times a week</x:v>
      </x:c>
      <x:c r="E11" s="9" t="str">
        <x:v>3–4 hours</x:v>
      </x:c>
      <x:c r="F11" s="9" t="str">
        <x:v>Corridor</x:v>
      </x:c>
      <x:c r="G11" s="9" t="str">
        <x:v>Poor</x:v>
      </x:c>
      <x:c r="H11" s="9" t="str">
        <x:v>Yes—stuffiness in washrooms and nearby corridors.</x:v>
      </x:c>
      <x:c r="I11" s="9" t="str">
        <x:v>Poor</x:v>
      </x:c>
      <x:c r="J11" s="9" t="str">
        <x:v>Poor</x:v>
      </x:c>
      <x:c r="K11" s="9" t="str">
        <x:v>Somewhat</x:v>
      </x:c>
      <x:c r="L11" s="9" t="str">
        <x:v>Construction noise is noticeable at times.</x:v>
      </x:c>
      <x:c r="M11" s="9" t="str">
        <x:v>No obvious indoor pollution observed.</x:v>
      </x:c>
      <x:c r="N11" s="9" t="str">
        <x:v>Ground-floor corridor and washroom areas.</x:v>
      </x:c>
      <x:c r="O11" s="9" t="str">
        <x:v>Yes</x:v>
      </x:c>
      <x:c r="P11" s="9" t="str">
        <x:v>No</x:v>
      </x:c>
      <x:c r="Q11" s="9" t="str">
        <x:v>Very poor</x:v>
      </x:c>
      <x:c r="R11" s="9" t="str">
        <x:v>Paper, Plastic, Food waste</x:v>
      </x:c>
      <x:c r="S11" s="9" t="str">
        <x:v>Never</x:v>
      </x:c>
      <x:c r="T11" s="9" t="str">
        <x:v>Add clear sorting signs and brief user awareness messages.</x:v>
      </x:c>
      <x:c r="U11" s="9" t="str">
        <x:v>Very good</x:v>
      </x:c>
      <x:c r="V11" s="9" t="str">
        <x:v>Very poor</x:v>
      </x:c>
      <x:c r="W11" s="9" t="str">
        <x:v>Yes—occasional water wastage near washbasins.</x:v>
      </x:c>
      <x:c r="X11" s="9" t="str">
        <x:v>No standing water noticed around the building.</x:v>
      </x:c>
      <x:c r="Y11" s="9" t="str">
        <x:v>Somewhat</x:v>
      </x:c>
      <x:c r="Z11" s="9" t="str">
        <x:v>Leaking taps and occasional flush problems.</x:v>
      </x:c>
      <x:c r="AA11" s="9" t="str">
        <x:v>No</x:v>
      </x:c>
      <x:c r="AB11" s="9" t="str">
        <x:v>Often</x:v>
      </x:c>
      <x:c r="AC11" s="9" t="str">
        <x:v>LED lighting is noticeable; no occupancy sensors noticed. Windows exist but ventilation varies.</x:v>
      </x:c>
      <x:c r="AD11" s="9" t="str">
        <x:v>Service AC units and switch off lights and fans after use.</x:v>
      </x:c>
      <x:c r="AE11" s="9" t="str">
        <x:v>Somewhat—reuse one-sided paper for internal drafts.</x:v>
      </x:c>
      <x:c r="AF11" s="9" t="str">
        <x:v>Good</x:v>
      </x:c>
      <x:c r="AG11" s="9" t="str">
        <x:v>Somewhat</x:v>
      </x:c>
      <x:c r="AH11" s="9" t="str">
        <x:v>Rarely</x:v>
      </x:c>
      <x:c r="AI11" s="9" t="str">
        <x:v>Somewhat</x:v>
      </x:c>
      <x:c r="AJ11" s="9" t="str">
        <x:v>Care for existing trees and introduce low-maintenance floor planters.</x:v>
      </x:c>
      <x:c r="AK11" s="9" t="str">
        <x:v>Average</x:v>
      </x:c>
      <x:c r="AL11" s="9" t="str">
        <x:v>Somewhat</x:v>
      </x:c>
      <x:c r="AM11" s="9" t="str">
        <x:v>Somewhat</x:v>
      </x:c>
      <x:c r="AN11" s="9" t="str">
        <x:v>Yes</x:v>
      </x:c>
      <x:c r="AO11" s="9" t="str">
        <x:v>No major transport-related problem noticed.</x:v>
      </x:c>
      <x:c r="AP11" s="9" t="str">
        <x:v>Washroom odor can reduce comfort; no other major issue noticed.</x:v>
      </x:c>
      <x:c r="AQ11" s="9" t="str">
        <x:v>No</x:v>
      </x:c>
      <x:c r="AR11" s="9" t="str">
        <x:v>Somewhat</x:v>
      </x:c>
      <x:c r="AS11" s="9" t="str">
        <x:v>Occasional AC condensate leakage; no major incident.</x:v>
      </x:c>
      <x:c r="AT11" s="9" t="str">
        <x:v>Average</x:v>
      </x:c>
      <x:c r="AU11" s="9" t="str">
        <x:v>Water leakage; stuffy corridors; insufficient waste sorting.</x:v>
      </x:c>
      <x:c r="AV11" s="9" t="str">
        <x:v>Repair water leakage to reduce wastage and improve sanitation.</x:v>
      </x:c>
      <x:c r="AW11" s="9" t="str">
        <x:v>Post evacuation maps, improve washroom cleaning, and add indoor plants.</x:v>
      </x:c>
      <x:c r="AX11" s="9" t="str">
        <x:v>Maybe</x:v>
      </x:c>
      <x:c r="AY11" s="9" t="str">
        <x:v>Check AC water leakage and keep nearby floors dry.</x:v>
      </x:c>
      <x:c r="AZ11" s="8" t="n">
        <x:f>IF(G11="","",IF(G11="Very poor",1,IF(G11="Poor",2,IF(G11="Average",3,IF(G11="Good",4,IF(G11="Very good",5,""))))))</x:f>
        <x:v>2</x:v>
      </x:c>
      <x:c r="BA11" s="8" t="n">
        <x:f>IF(I11="","",IF(I11="Very poor",1,IF(I11="Poor",2,IF(I11="Average",3,IF(I11="Good",4,IF(I11="Very good",5,""))))))</x:f>
        <x:v>2</x:v>
      </x:c>
      <x:c r="BB11" s="8" t="n">
        <x:f>IF(J11="","",IF(J11="Very poor",1,IF(J11="Poor",2,IF(J11="Average",3,IF(J11="Good",4,IF(J11="Very good",5,""))))))</x:f>
        <x:v>2</x:v>
      </x:c>
      <x:c r="BC11" s="8" t="n">
        <x:f>IF(Q11="","",IF(Q11="Very poor",1,IF(Q11="Poor",2,IF(Q11="Average",3,IF(Q11="Effective",4,IF(Q11="Very effective",5,""))))))</x:f>
        <x:v>1</x:v>
      </x:c>
      <x:c r="BD11" s="8" t="n">
        <x:f>IF(S11="","",IF(S11="Never",1,IF(S11="Rarely",2,IF(S11="Sometimes",3,IF(S11="Often",4,IF(S11="Always",5,""))))))</x:f>
        <x:v>1</x:v>
      </x:c>
      <x:c r="BE11" s="8" t="n">
        <x:f>IF(U11="","",IF(U11="Very poor",1,IF(U11="Poor",2,IF(U11="Average",3,IF(U11="Good",4,IF(U11="Very good",5,""))))))</x:f>
        <x:v>5</x:v>
      </x:c>
      <x:c r="BF11" s="8" t="n">
        <x:f>IF(V11="","",IF(V11="Very poor",1,IF(V11="Poor",2,IF(V11="Average",3,IF(V11="Good",4,IF(V11="Very good",5,""))))))</x:f>
        <x:v>1</x:v>
      </x:c>
      <x:c r="BG11" s="8" t="n">
        <x:f>IF(AB11="","",IF(AB11="Never",1,IF(AB11="Rarely",2,IF(AB11="Sometimes",3,IF(AB11="Often",4,IF(AB11="Always",5,""))))))</x:f>
        <x:v>4</x:v>
      </x:c>
      <x:c r="BH11" s="8" t="n">
        <x:f>IF(AF11="","",IF(AF11="Very poor",1,IF(AF11="Poor",2,IF(AF11="Average",3,IF(AF11="Good",4,IF(AF11="Very good",5,""))))))</x:f>
        <x:v>4</x:v>
      </x:c>
      <x:c r="BI11" s="8" t="n">
        <x:f>IF(AK11="","",IF(AK11="Very poor",1,IF(AK11="Poor",2,IF(AK11="Average",3,IF(AK11="Good",4,IF(AK11="Very good",5,""))))))</x:f>
        <x:v>3</x:v>
      </x:c>
      <x:c r="BJ11" s="8" t="n">
        <x:f>IF(AT11="","",IF(AT11="Very poor",1,IF(AT11="Poor",2,IF(AT11="Average",3,IF(AT11="Good",4,IF(AT11="Very good",5,""))))))</x:f>
        <x:v>3</x:v>
      </x:c>
      <x:c r="BK11" s="8"/>
    </x:row>
    <x:row r="12">
      <x:c r="A12" t="str">
        <x:v>SIM-07</x:v>
      </x:c>
      <x:c r="B12" t="str">
        <x:v>Synthetic</x:v>
      </x:c>
      <x:c r="C12" s="9" t="str">
        <x:v>Student</x:v>
      </x:c>
      <x:c r="D12" s="9" t="str">
        <x:v>Daily</x:v>
      </x:c>
      <x:c r="E12" s="9" t="str">
        <x:v>5–6 hours</x:v>
      </x:c>
      <x:c r="F12" s="9" t="str">
        <x:v>Classroom</x:v>
      </x:c>
      <x:c r="G12" s="9" t="str">
        <x:v>Poor</x:v>
      </x:c>
      <x:c r="H12" s="9" t="str">
        <x:v>Yes—unpleasant odor near some washrooms.</x:v>
      </x:c>
      <x:c r="I12" s="9" t="str">
        <x:v>Poor</x:v>
      </x:c>
      <x:c r="J12" s="9" t="str">
        <x:v>Poor</x:v>
      </x:c>
      <x:c r="K12" s="9" t="str">
        <x:v>Yes</x:v>
      </x:c>
      <x:c r="L12" s="9" t="str">
        <x:v>Occasional noise from nearby construction.</x:v>
      </x:c>
      <x:c r="M12" s="9" t="str">
        <x:v>No persistent indoor smoke observed; occasional dust near ground-floor parking.</x:v>
      </x:c>
      <x:c r="N12" s="9" t="str">
        <x:v>Department corridors and washrooms.</x:v>
      </x:c>
      <x:c r="O12" s="9" t="str">
        <x:v>Yes</x:v>
      </x:c>
      <x:c r="P12" s="9" t="str">
        <x:v>No</x:v>
      </x:c>
      <x:c r="Q12" s="9" t="str">
        <x:v>Poor</x:v>
      </x:c>
      <x:c r="R12" s="9" t="str">
        <x:v>Paper, Plastic, Food waste</x:v>
      </x:c>
      <x:c r="S12" s="9" t="str">
        <x:v>Rarely</x:v>
      </x:c>
      <x:c r="T12" s="9" t="str">
        <x:v>Introduce labeled paper, plastic, and food-waste bins.</x:v>
      </x:c>
      <x:c r="U12" s="9" t="str">
        <x:v>Good</x:v>
      </x:c>
      <x:c r="V12" s="9" t="str">
        <x:v>Poor</x:v>
      </x:c>
      <x:c r="W12" s="9" t="str">
        <x:v>Yes—leaking taps or flushes in washrooms.</x:v>
      </x:c>
      <x:c r="X12" s="9" t="str">
        <x:v>No standing water noticed around the building.</x:v>
      </x:c>
      <x:c r="Y12" s="9" t="str">
        <x:v>Yes</x:v>
      </x:c>
      <x:c r="Z12" s="9" t="str">
        <x:v>Occasional blocked flush and washroom odor.</x:v>
      </x:c>
      <x:c r="AA12" s="9" t="str">
        <x:v>Somewhat</x:v>
      </x:c>
      <x:c r="AB12" s="9" t="str">
        <x:v>Sometimes</x:v>
      </x:c>
      <x:c r="AC12" s="9" t="str">
        <x:v>LED lighting is noticeable; no occupancy sensors noticed. Windows exist but ventilation varies.</x:v>
      </x:c>
      <x:c r="AD12" s="9" t="str">
        <x:v>Install occupancy sensors in suitable rooms and set an AC shutdown routine.</x:v>
      </x:c>
      <x:c r="AE12" s="9" t="str">
        <x:v>Somewhat—online submission can reduce printing.</x:v>
      </x:c>
      <x:c r="AF12" s="9" t="str">
        <x:v>Good</x:v>
      </x:c>
      <x:c r="AG12" s="9" t="str">
        <x:v>Somewhat</x:v>
      </x:c>
      <x:c r="AH12" s="9" t="str">
        <x:v>Rarely</x:v>
      </x:c>
      <x:c r="AI12" s="9" t="str">
        <x:v>Somewhat</x:v>
      </x:c>
      <x:c r="AJ12" s="9" t="str">
        <x:v>Maintain existing greenery and add suitable indoor plants on each floor.</x:v>
      </x:c>
      <x:c r="AK12" s="9" t="str">
        <x:v>Good</x:v>
      </x:c>
      <x:c r="AL12" s="9" t="str">
        <x:v>No</x:v>
      </x:c>
      <x:c r="AM12" s="9" t="str">
        <x:v>Yes</x:v>
      </x:c>
      <x:c r="AN12" s="9" t="str">
        <x:v>Yes</x:v>
      </x:c>
      <x:c r="AO12" s="9" t="str">
        <x:v>Occasional vehicle noise; no major persistent issue noticed.</x:v>
      </x:c>
      <x:c r="AP12" s="9" t="str">
        <x:v>Poor washroom conditions and stuffy corridors may affect comfort.</x:v>
      </x:c>
      <x:c r="AQ12" s="9" t="str">
        <x:v>No</x:v>
      </x:c>
      <x:c r="AR12" s="9" t="str">
        <x:v>Somewhat</x:v>
      </x:c>
      <x:c r="AS12" s="9" t="str">
        <x:v>No specific incident observed.</x:v>
      </x:c>
      <x:c r="AT12" s="9" t="str">
        <x:v>Average</x:v>
      </x:c>
      <x:c r="AU12" s="9" t="str">
        <x:v>Washroom hygiene; weak waste segregation; inefficient electricity use.</x:v>
      </x:c>
      <x:c r="AV12" s="9" t="str">
        <x:v>Washroom hygiene, because it affects daily comfort and water use.</x:v>
      </x:c>
      <x:c r="AW12" s="9" t="str">
        <x:v>Repair taps and flushes; add labeled bins; train occupants on fire safety.</x:v>
      </x:c>
      <x:c r="AX12" s="9" t="str">
        <x:v>Yes</x:v>
      </x:c>
      <x:c r="AY12" s="9" t="str">
        <x:v>A shoe rack by the male prayer room could keep the corridor clear.</x:v>
      </x:c>
      <x:c r="AZ12" s="8" t="n">
        <x:f>IF(G12="","",IF(G12="Very poor",1,IF(G12="Poor",2,IF(G12="Average",3,IF(G12="Good",4,IF(G12="Very good",5,""))))))</x:f>
        <x:v>2</x:v>
      </x:c>
      <x:c r="BA12" s="8" t="n">
        <x:f>IF(I12="","",IF(I12="Very poor",1,IF(I12="Poor",2,IF(I12="Average",3,IF(I12="Good",4,IF(I12="Very good",5,""))))))</x:f>
        <x:v>2</x:v>
      </x:c>
      <x:c r="BB12" s="8" t="n">
        <x:f>IF(J12="","",IF(J12="Very poor",1,IF(J12="Poor",2,IF(J12="Average",3,IF(J12="Good",4,IF(J12="Very good",5,""))))))</x:f>
        <x:v>2</x:v>
      </x:c>
      <x:c r="BC12" s="8" t="n">
        <x:f>IF(Q12="","",IF(Q12="Very poor",1,IF(Q12="Poor",2,IF(Q12="Average",3,IF(Q12="Effective",4,IF(Q12="Very effective",5,""))))))</x:f>
        <x:v>2</x:v>
      </x:c>
      <x:c r="BD12" s="8" t="n">
        <x:f>IF(S12="","",IF(S12="Never",1,IF(S12="Rarely",2,IF(S12="Sometimes",3,IF(S12="Often",4,IF(S12="Always",5,""))))))</x:f>
        <x:v>2</x:v>
      </x:c>
      <x:c r="BE12" s="8" t="n">
        <x:f>IF(U12="","",IF(U12="Very poor",1,IF(U12="Poor",2,IF(U12="Average",3,IF(U12="Good",4,IF(U12="Very good",5,""))))))</x:f>
        <x:v>4</x:v>
      </x:c>
      <x:c r="BF12" s="8" t="n">
        <x:f>IF(V12="","",IF(V12="Very poor",1,IF(V12="Poor",2,IF(V12="Average",3,IF(V12="Good",4,IF(V12="Very good",5,""))))))</x:f>
        <x:v>2</x:v>
      </x:c>
      <x:c r="BG12" s="8" t="n">
        <x:f>IF(AB12="","",IF(AB12="Never",1,IF(AB12="Rarely",2,IF(AB12="Sometimes",3,IF(AB12="Often",4,IF(AB12="Always",5,""))))))</x:f>
        <x:v>3</x:v>
      </x:c>
      <x:c r="BH12" s="8" t="n">
        <x:f>IF(AF12="","",IF(AF12="Very poor",1,IF(AF12="Poor",2,IF(AF12="Average",3,IF(AF12="Good",4,IF(AF12="Very good",5,""))))))</x:f>
        <x:v>4</x:v>
      </x:c>
      <x:c r="BI12" s="8" t="n">
        <x:f>IF(AK12="","",IF(AK12="Very poor",1,IF(AK12="Poor",2,IF(AK12="Average",3,IF(AK12="Good",4,IF(AK12="Very good",5,""))))))</x:f>
        <x:v>4</x:v>
      </x:c>
      <x:c r="BJ12" s="8" t="n">
        <x:f>IF(AT12="","",IF(AT12="Very poor",1,IF(AT12="Poor",2,IF(AT12="Average",3,IF(AT12="Good",4,IF(AT12="Very good",5,""))))))</x:f>
        <x:v>3</x:v>
      </x:c>
      <x:c r="BK12" s="8"/>
    </x:row>
    <x:row r="13">
      <x:c r="A13" t="str">
        <x:v>SIM-08</x:v>
      </x:c>
      <x:c r="B13" t="str">
        <x:v>Synthetic</x:v>
      </x:c>
      <x:c r="C13" s="9" t="str">
        <x:v>Student</x:v>
      </x:c>
      <x:c r="D13" s="9" t="str">
        <x:v>Daily</x:v>
      </x:c>
      <x:c r="E13" s="9" t="str">
        <x:v>3–4 hours</x:v>
      </x:c>
      <x:c r="F13" s="9" t="str">
        <x:v>Classroom</x:v>
      </x:c>
      <x:c r="G13" s="9" t="str">
        <x:v>Average</x:v>
      </x:c>
      <x:c r="H13" s="9" t="str">
        <x:v>Yes—stuffiness in washrooms and nearby corridors.</x:v>
      </x:c>
      <x:c r="I13" s="9" t="str">
        <x:v>Average</x:v>
      </x:c>
      <x:c r="J13" s="9" t="str">
        <x:v>Average</x:v>
      </x:c>
      <x:c r="K13" s="9" t="str">
        <x:v>Somewhat</x:v>
      </x:c>
      <x:c r="L13" s="9" t="str">
        <x:v>No persistent excessive noise; construction can be audible.</x:v>
      </x:c>
      <x:c r="M13" s="9" t="str">
        <x:v>Sometimes dust near the lower level or adjacent construction.</x:v>
      </x:c>
      <x:c r="N13" s="9" t="str">
        <x:v>Open areas near the department and poorly ventilated washrooms.</x:v>
      </x:c>
      <x:c r="O13" s="9" t="str">
        <x:v>Yes</x:v>
      </x:c>
      <x:c r="P13" s="9" t="str">
        <x:v>No</x:v>
      </x:c>
      <x:c r="Q13" s="9" t="str">
        <x:v>Very poor</x:v>
      </x:c>
      <x:c r="R13" s="9" t="str">
        <x:v>Paper, Plastic, Food waste</x:v>
      </x:c>
      <x:c r="S13" s="9" t="str">
        <x:v>Never</x:v>
      </x:c>
      <x:c r="T13" s="9" t="str">
        <x:v>Separate cafeteria food waste for composting and label the bins.</x:v>
      </x:c>
      <x:c r="U13" s="9" t="str">
        <x:v>Very good</x:v>
      </x:c>
      <x:c r="V13" s="9" t="str">
        <x:v>Very poor</x:v>
      </x:c>
      <x:c r="W13" s="9" t="str">
        <x:v>Sometimes—running taps in washrooms.</x:v>
      </x:c>
      <x:c r="X13" s="9" t="str">
        <x:v>No standing water noticed around the building.</x:v>
      </x:c>
      <x:c r="Y13" s="9" t="str">
        <x:v>Yes</x:v>
      </x:c>
      <x:c r="Z13" s="9" t="str">
        <x:v>Clogging and delayed cleaning in some washrooms.</x:v>
      </x:c>
      <x:c r="AA13" s="9" t="str">
        <x:v>No</x:v>
      </x:c>
      <x:c r="AB13" s="9" t="str">
        <x:v>Often</x:v>
      </x:c>
      <x:c r="AC13" s="9" t="str">
        <x:v>LED lighting is noticeable; no occupancy sensors noticed. Windows exist but ventilation varies.</x:v>
      </x:c>
      <x:c r="AD13" s="9" t="str">
        <x:v>Put switch-off reminders at classroom exits and use a closing checklist.</x:v>
      </x:c>
      <x:c r="AE13" s="9" t="str">
        <x:v>Yes for most work, though double-sided printing could improve use.</x:v>
      </x:c>
      <x:c r="AF13" s="9" t="str">
        <x:v>Good</x:v>
      </x:c>
      <x:c r="AG13" s="9" t="str">
        <x:v>Yes</x:v>
      </x:c>
      <x:c r="AH13" s="9" t="str">
        <x:v>No</x:v>
      </x:c>
      <x:c r="AI13" s="9" t="str">
        <x:v>No</x:v>
      </x:c>
      <x:c r="AJ13" s="9" t="str">
        <x:v>Add planters near corridors and increase shade in outdoor seating.</x:v>
      </x:c>
      <x:c r="AK13" s="9" t="str">
        <x:v>Good</x:v>
      </x:c>
      <x:c r="AL13" s="9" t="str">
        <x:v>No</x:v>
      </x:c>
      <x:c r="AM13" s="9" t="str">
        <x:v>Yes</x:v>
      </x:c>
      <x:c r="AN13" s="9" t="str">
        <x:v>Somewhat</x:v>
      </x:c>
      <x:c r="AO13" s="9" t="str">
        <x:v>Minor noise near parking at busy times.</x:v>
      </x:c>
      <x:c r="AP13" s="9" t="str">
        <x:v>Occasional construction noise affects comfort.</x:v>
      </x:c>
      <x:c r="AQ13" s="9" t="str">
        <x:v>Somewhat</x:v>
      </x:c>
      <x:c r="AR13" s="9" t="str">
        <x:v>No</x:v>
      </x:c>
      <x:c r="AS13" s="9" t="str">
        <x:v>Observed a leaking tap; no emergency incident.</x:v>
      </x:c>
      <x:c r="AT13" s="9" t="str">
        <x:v>Poor</x:v>
      </x:c>
      <x:c r="AU13" s="9" t="str">
        <x:v>Washroom ventilation; unclear fire evacuation information; waste mixing.</x:v>
      </x:c>
      <x:c r="AV13" s="9" t="str">
        <x:v>Fire route signs and practical training, because users need clear instructions.</x:v>
      </x:c>
      <x:c r="AW13" s="9" t="str">
        <x:v>Introduce room shutdown checks, separate waste, and maintain washrooms.</x:v>
      </x:c>
      <x:c r="AX13" s="9" t="str">
        <x:v>Yes</x:v>
      </x:c>
      <x:c r="AY13" s="9" t="str">
        <x:v>Consider an exhaust fan for the male prayer room and a shoe rack outside.</x:v>
      </x:c>
      <x:c r="AZ13" s="8" t="n">
        <x:f>IF(G13="","",IF(G13="Very poor",1,IF(G13="Poor",2,IF(G13="Average",3,IF(G13="Good",4,IF(G13="Very good",5,""))))))</x:f>
        <x:v>3</x:v>
      </x:c>
      <x:c r="BA13" s="8" t="n">
        <x:f>IF(I13="","",IF(I13="Very poor",1,IF(I13="Poor",2,IF(I13="Average",3,IF(I13="Good",4,IF(I13="Very good",5,""))))))</x:f>
        <x:v>3</x:v>
      </x:c>
      <x:c r="BB13" s="8" t="n">
        <x:f>IF(J13="","",IF(J13="Very poor",1,IF(J13="Poor",2,IF(J13="Average",3,IF(J13="Good",4,IF(J13="Very good",5,""))))))</x:f>
        <x:v>3</x:v>
      </x:c>
      <x:c r="BC13" s="8" t="n">
        <x:f>IF(Q13="","",IF(Q13="Very poor",1,IF(Q13="Poor",2,IF(Q13="Average",3,IF(Q13="Effective",4,IF(Q13="Very effective",5,""))))))</x:f>
        <x:v>1</x:v>
      </x:c>
      <x:c r="BD13" s="8" t="n">
        <x:f>IF(S13="","",IF(S13="Never",1,IF(S13="Rarely",2,IF(S13="Sometimes",3,IF(S13="Often",4,IF(S13="Always",5,""))))))</x:f>
        <x:v>1</x:v>
      </x:c>
      <x:c r="BE13" s="8" t="n">
        <x:f>IF(U13="","",IF(U13="Very poor",1,IF(U13="Poor",2,IF(U13="Average",3,IF(U13="Good",4,IF(U13="Very good",5,""))))))</x:f>
        <x:v>5</x:v>
      </x:c>
      <x:c r="BF13" s="8" t="n">
        <x:f>IF(V13="","",IF(V13="Very poor",1,IF(V13="Poor",2,IF(V13="Average",3,IF(V13="Good",4,IF(V13="Very good",5,""))))))</x:f>
        <x:v>1</x:v>
      </x:c>
      <x:c r="BG13" s="8" t="n">
        <x:f>IF(AB13="","",IF(AB13="Never",1,IF(AB13="Rarely",2,IF(AB13="Sometimes",3,IF(AB13="Often",4,IF(AB13="Always",5,""))))))</x:f>
        <x:v>4</x:v>
      </x:c>
      <x:c r="BH13" s="8" t="n">
        <x:f>IF(AF13="","",IF(AF13="Very poor",1,IF(AF13="Poor",2,IF(AF13="Average",3,IF(AF13="Good",4,IF(AF13="Very good",5,""))))))</x:f>
        <x:v>4</x:v>
      </x:c>
      <x:c r="BI13" s="8" t="n">
        <x:f>IF(AK13="","",IF(AK13="Very poor",1,IF(AK13="Poor",2,IF(AK13="Average",3,IF(AK13="Good",4,IF(AK13="Very good",5,""))))))</x:f>
        <x:v>4</x:v>
      </x:c>
      <x:c r="BJ13" s="8" t="n">
        <x:f>IF(AT13="","",IF(AT13="Very poor",1,IF(AT13="Poor",2,IF(AT13="Average",3,IF(AT13="Good",4,IF(AT13="Very good",5,""))))))</x:f>
        <x:v>2</x:v>
      </x:c>
      <x:c r="BK13" s="8"/>
    </x:row>
    <x:row r="14">
      <x:c r="A14" t="str">
        <x:v>SIM-09</x:v>
      </x:c>
      <x:c r="B14" t="str">
        <x:v>Synthetic</x:v>
      </x:c>
      <x:c r="C14" s="9" t="str">
        <x:v>Student</x:v>
      </x:c>
      <x:c r="D14" s="9" t="str">
        <x:v>Daily</x:v>
      </x:c>
      <x:c r="E14" s="9" t="str">
        <x:v>5–6 hours</x:v>
      </x:c>
      <x:c r="F14" s="9" t="str">
        <x:v>Classroom</x:v>
      </x:c>
      <x:c r="G14" s="9" t="str">
        <x:v>Poor</x:v>
      </x:c>
      <x:c r="H14" s="9" t="str">
        <x:v>Sometimes; washrooms are the main concern.</x:v>
      </x:c>
      <x:c r="I14" s="9" t="str">
        <x:v>Very poor</x:v>
      </x:c>
      <x:c r="J14" s="9" t="str">
        <x:v>Poor</x:v>
      </x:c>
      <x:c r="K14" s="9" t="str">
        <x:v>Yes</x:v>
      </x:c>
      <x:c r="L14" s="9" t="str">
        <x:v>Construction noise is noticeable at times.</x:v>
      </x:c>
      <x:c r="M14" s="9" t="str">
        <x:v>No obvious indoor pollution observed.</x:v>
      </x:c>
      <x:c r="N14" s="9" t="str">
        <x:v>Ground-floor corridor and washroom areas.</x:v>
      </x:c>
      <x:c r="O14" s="9" t="str">
        <x:v>Yes</x:v>
      </x:c>
      <x:c r="P14" s="9" t="str">
        <x:v>No</x:v>
      </x:c>
      <x:c r="Q14" s="9" t="str">
        <x:v>Poor</x:v>
      </x:c>
      <x:c r="R14" s="9" t="str">
        <x:v>Paper, Plastic, Food waste</x:v>
      </x:c>
      <x:c r="S14" s="9" t="str">
        <x:v>Rarely</x:v>
      </x:c>
      <x:c r="T14" s="9" t="str">
        <x:v>Add clear sorting signs and brief user awareness messages.</x:v>
      </x:c>
      <x:c r="U14" s="9" t="str">
        <x:v>Good</x:v>
      </x:c>
      <x:c r="V14" s="9" t="str">
        <x:v>Average</x:v>
      </x:c>
      <x:c r="W14" s="9" t="str">
        <x:v>Yes—occasional water wastage near washbasins.</x:v>
      </x:c>
      <x:c r="X14" s="9" t="str">
        <x:v>No standing water noticed around the building.</x:v>
      </x:c>
      <x:c r="Y14" s="9" t="str">
        <x:v>Somewhat</x:v>
      </x:c>
      <x:c r="Z14" s="9" t="str">
        <x:v>Leaking taps and occasional flush problems.</x:v>
      </x:c>
      <x:c r="AA14" s="9" t="str">
        <x:v>Somewhat</x:v>
      </x:c>
      <x:c r="AB14" s="9" t="str">
        <x:v>Sometimes</x:v>
      </x:c>
      <x:c r="AC14" s="9" t="str">
        <x:v>LED lighting is noticeable; no occupancy sensors noticed. Windows exist but ventilation varies.</x:v>
      </x:c>
      <x:c r="AD14" s="9" t="str">
        <x:v>Service AC units and switch off lights and fans after use.</x:v>
      </x:c>
      <x:c r="AE14" s="9" t="str">
        <x:v>Somewhat—reuse one-sided paper for internal drafts.</x:v>
      </x:c>
      <x:c r="AF14" s="9" t="str">
        <x:v>Very good</x:v>
      </x:c>
      <x:c r="AG14" s="9" t="str">
        <x:v>Somewhat</x:v>
      </x:c>
      <x:c r="AH14" s="9" t="str">
        <x:v>Rarely</x:v>
      </x:c>
      <x:c r="AI14" s="9" t="str">
        <x:v>Somewhat</x:v>
      </x:c>
      <x:c r="AJ14" s="9" t="str">
        <x:v>Care for existing trees and introduce low-maintenance floor planters.</x:v>
      </x:c>
      <x:c r="AK14" s="9" t="str">
        <x:v>Average</x:v>
      </x:c>
      <x:c r="AL14" s="9" t="str">
        <x:v>Somewhat</x:v>
      </x:c>
      <x:c r="AM14" s="9" t="str">
        <x:v>Somewhat</x:v>
      </x:c>
      <x:c r="AN14" s="9" t="str">
        <x:v>Yes</x:v>
      </x:c>
      <x:c r="AO14" s="9" t="str">
        <x:v>No major transport-related problem noticed.</x:v>
      </x:c>
      <x:c r="AP14" s="9" t="str">
        <x:v>Washroom odor can reduce comfort; no other major issue noticed.</x:v>
      </x:c>
      <x:c r="AQ14" s="9" t="str">
        <x:v>No</x:v>
      </x:c>
      <x:c r="AR14" s="9" t="str">
        <x:v>Somewhat</x:v>
      </x:c>
      <x:c r="AS14" s="9" t="str">
        <x:v>Occasional AC condensate leakage; no major incident.</x:v>
      </x:c>
      <x:c r="AT14" s="9" t="str">
        <x:v>Average</x:v>
      </x:c>
      <x:c r="AU14" s="9" t="str">
        <x:v>Water leakage; stuffy corridors; insufficient waste sorting.</x:v>
      </x:c>
      <x:c r="AV14" s="9" t="str">
        <x:v>Repair water leakage to reduce wastage and improve sanitation.</x:v>
      </x:c>
      <x:c r="AW14" s="9" t="str">
        <x:v>Post evacuation maps, improve washroom cleaning, and add indoor plants.</x:v>
      </x:c>
      <x:c r="AX14" s="9" t="str">
        <x:v>Maybe</x:v>
      </x:c>
      <x:c r="AY14" s="9" t="str">
        <x:v>Check AC water leakage and keep nearby floors dry.</x:v>
      </x:c>
      <x:c r="AZ14" s="8" t="n">
        <x:f>IF(G14="","",IF(G14="Very poor",1,IF(G14="Poor",2,IF(G14="Average",3,IF(G14="Good",4,IF(G14="Very good",5,""))))))</x:f>
        <x:v>2</x:v>
      </x:c>
      <x:c r="BA14" s="8" t="n">
        <x:f>IF(I14="","",IF(I14="Very poor",1,IF(I14="Poor",2,IF(I14="Average",3,IF(I14="Good",4,IF(I14="Very good",5,""))))))</x:f>
        <x:v>1</x:v>
      </x:c>
      <x:c r="BB14" s="8" t="n">
        <x:f>IF(J14="","",IF(J14="Very poor",1,IF(J14="Poor",2,IF(J14="Average",3,IF(J14="Good",4,IF(J14="Very good",5,""))))))</x:f>
        <x:v>2</x:v>
      </x:c>
      <x:c r="BC14" s="8" t="n">
        <x:f>IF(Q14="","",IF(Q14="Very poor",1,IF(Q14="Poor",2,IF(Q14="Average",3,IF(Q14="Effective",4,IF(Q14="Very effective",5,""))))))</x:f>
        <x:v>2</x:v>
      </x:c>
      <x:c r="BD14" s="8" t="n">
        <x:f>IF(S14="","",IF(S14="Never",1,IF(S14="Rarely",2,IF(S14="Sometimes",3,IF(S14="Often",4,IF(S14="Always",5,""))))))</x:f>
        <x:v>2</x:v>
      </x:c>
      <x:c r="BE14" s="8" t="n">
        <x:f>IF(U14="","",IF(U14="Very poor",1,IF(U14="Poor",2,IF(U14="Average",3,IF(U14="Good",4,IF(U14="Very good",5,""))))))</x:f>
        <x:v>4</x:v>
      </x:c>
      <x:c r="BF14" s="8" t="n">
        <x:f>IF(V14="","",IF(V14="Very poor",1,IF(V14="Poor",2,IF(V14="Average",3,IF(V14="Good",4,IF(V14="Very good",5,""))))))</x:f>
        <x:v>3</x:v>
      </x:c>
      <x:c r="BG14" s="8" t="n">
        <x:f>IF(AB14="","",IF(AB14="Never",1,IF(AB14="Rarely",2,IF(AB14="Sometimes",3,IF(AB14="Often",4,IF(AB14="Always",5,""))))))</x:f>
        <x:v>3</x:v>
      </x:c>
      <x:c r="BH14" s="8" t="n">
        <x:f>IF(AF14="","",IF(AF14="Very poor",1,IF(AF14="Poor",2,IF(AF14="Average",3,IF(AF14="Good",4,IF(AF14="Very good",5,""))))))</x:f>
        <x:v>5</x:v>
      </x:c>
      <x:c r="BI14" s="8" t="n">
        <x:f>IF(AK14="","",IF(AK14="Very poor",1,IF(AK14="Poor",2,IF(AK14="Average",3,IF(AK14="Good",4,IF(AK14="Very good",5,""))))))</x:f>
        <x:v>3</x:v>
      </x:c>
      <x:c r="BJ14" s="8" t="n">
        <x:f>IF(AT14="","",IF(AT14="Very poor",1,IF(AT14="Poor",2,IF(AT14="Average",3,IF(AT14="Good",4,IF(AT14="Very good",5,""))))))</x:f>
        <x:v>3</x:v>
      </x:c>
      <x:c r="BK14" s="8"/>
    </x:row>
    <x:row r="15">
      <x:c r="A15" t="str">
        <x:v>SIM-10</x:v>
      </x:c>
      <x:c r="B15" t="str">
        <x:v>Synthetic</x:v>
      </x:c>
      <x:c r="C15" s="9" t="str">
        <x:v>Student</x:v>
      </x:c>
      <x:c r="D15" s="9" t="str">
        <x:v>Daily</x:v>
      </x:c>
      <x:c r="E15" s="9" t="str">
        <x:v>3–4 hours</x:v>
      </x:c>
      <x:c r="F15" s="9" t="str">
        <x:v>Classroom</x:v>
      </x:c>
      <x:c r="G15" s="9" t="str">
        <x:v>Very poor</x:v>
      </x:c>
      <x:c r="H15" s="9" t="str">
        <x:v>Yes—limited air movement near department corridors.</x:v>
      </x:c>
      <x:c r="I15" s="9" t="str">
        <x:v>Poor</x:v>
      </x:c>
      <x:c r="J15" s="9" t="str">
        <x:v>Very poor</x:v>
      </x:c>
      <x:c r="K15" s="9" t="str">
        <x:v>Somewhat</x:v>
      </x:c>
      <x:c r="L15" s="9" t="str">
        <x:v>Occasional noise from nearby construction.</x:v>
      </x:c>
      <x:c r="M15" s="9" t="str">
        <x:v>No persistent indoor smoke observed; occasional dust near ground-floor parking.</x:v>
      </x:c>
      <x:c r="N15" s="9" t="str">
        <x:v>Department corridors and washrooms.</x:v>
      </x:c>
      <x:c r="O15" s="9" t="str">
        <x:v>Yes</x:v>
      </x:c>
      <x:c r="P15" s="9" t="str">
        <x:v>No</x:v>
      </x:c>
      <x:c r="Q15" s="9" t="str">
        <x:v>Very poor</x:v>
      </x:c>
      <x:c r="R15" s="9" t="str">
        <x:v>Paper, Plastic, Food waste</x:v>
      </x:c>
      <x:c r="S15" s="9" t="str">
        <x:v>Sometimes</x:v>
      </x:c>
      <x:c r="T15" s="9" t="str">
        <x:v>Introduce labeled paper, plastic, and food-waste bins.</x:v>
      </x:c>
      <x:c r="U15" s="9" t="str">
        <x:v>Good</x:v>
      </x:c>
      <x:c r="V15" s="9" t="str">
        <x:v>Poor</x:v>
      </x:c>
      <x:c r="W15" s="9" t="str">
        <x:v>Yes—leaking taps or flushes in washrooms.</x:v>
      </x:c>
      <x:c r="X15" s="9" t="str">
        <x:v>No standing water noticed around the building.</x:v>
      </x:c>
      <x:c r="Y15" s="9" t="str">
        <x:v>Yes</x:v>
      </x:c>
      <x:c r="Z15" s="9" t="str">
        <x:v>Occasional blocked flush and washroom odor.</x:v>
      </x:c>
      <x:c r="AA15" s="9" t="str">
        <x:v>Yes</x:v>
      </x:c>
      <x:c r="AB15" s="9" t="str">
        <x:v>Sometimes</x:v>
      </x:c>
      <x:c r="AC15" s="9" t="str">
        <x:v>LED lighting is noticeable; no occupancy sensors noticed. Windows exist but ventilation varies.</x:v>
      </x:c>
      <x:c r="AD15" s="9" t="str">
        <x:v>Install occupancy sensors in suitable rooms and set an AC shutdown routine.</x:v>
      </x:c>
      <x:c r="AE15" s="9" t="str">
        <x:v>Somewhat—online submission can reduce printing.</x:v>
      </x:c>
      <x:c r="AF15" s="9" t="str">
        <x:v>Average</x:v>
      </x:c>
      <x:c r="AG15" s="9" t="str">
        <x:v>Somewhat</x:v>
      </x:c>
      <x:c r="AH15" s="9" t="str">
        <x:v>Rarely</x:v>
      </x:c>
      <x:c r="AI15" s="9" t="str">
        <x:v>Somewhat</x:v>
      </x:c>
      <x:c r="AJ15" s="9" t="str">
        <x:v>Maintain existing greenery and add suitable indoor plants on each floor.</x:v>
      </x:c>
      <x:c r="AK15" s="9" t="str">
        <x:v>Good</x:v>
      </x:c>
      <x:c r="AL15" s="9" t="str">
        <x:v>No</x:v>
      </x:c>
      <x:c r="AM15" s="9" t="str">
        <x:v>Yes</x:v>
      </x:c>
      <x:c r="AN15" s="9" t="str">
        <x:v>Yes</x:v>
      </x:c>
      <x:c r="AO15" s="9" t="str">
        <x:v>Occasional vehicle noise; no major persistent issue noticed.</x:v>
      </x:c>
      <x:c r="AP15" s="9" t="str">
        <x:v>Poor washroom conditions and stuffy corridors may affect comfort.</x:v>
      </x:c>
      <x:c r="AQ15" s="9" t="str">
        <x:v>No</x:v>
      </x:c>
      <x:c r="AR15" s="9" t="str">
        <x:v>Somewhat</x:v>
      </x:c>
      <x:c r="AS15" s="9" t="str">
        <x:v>No specific incident observed.</x:v>
      </x:c>
      <x:c r="AT15" s="9" t="str">
        <x:v>Average</x:v>
      </x:c>
      <x:c r="AU15" s="9" t="str">
        <x:v>Washroom hygiene; weak waste segregation; inefficient electricity use.</x:v>
      </x:c>
      <x:c r="AV15" s="9" t="str">
        <x:v>Washroom hygiene, because it affects daily comfort and water use.</x:v>
      </x:c>
      <x:c r="AW15" s="9" t="str">
        <x:v>Repair taps and flushes; add labeled bins; train occupants on fire safety.</x:v>
      </x:c>
      <x:c r="AX15" s="9" t="str">
        <x:v>Yes</x:v>
      </x:c>
      <x:c r="AY15" s="9" t="str">
        <x:v>A shoe rack by the male prayer room could keep the corridor clear.</x:v>
      </x:c>
      <x:c r="AZ15" s="8" t="n">
        <x:f>IF(G15="","",IF(G15="Very poor",1,IF(G15="Poor",2,IF(G15="Average",3,IF(G15="Good",4,IF(G15="Very good",5,""))))))</x:f>
        <x:v>1</x:v>
      </x:c>
      <x:c r="BA15" s="8" t="n">
        <x:f>IF(I15="","",IF(I15="Very poor",1,IF(I15="Poor",2,IF(I15="Average",3,IF(I15="Good",4,IF(I15="Very good",5,""))))))</x:f>
        <x:v>2</x:v>
      </x:c>
      <x:c r="BB15" s="8" t="n">
        <x:f>IF(J15="","",IF(J15="Very poor",1,IF(J15="Poor",2,IF(J15="Average",3,IF(J15="Good",4,IF(J15="Very good",5,""))))))</x:f>
        <x:v>1</x:v>
      </x:c>
      <x:c r="BC15" s="8" t="n">
        <x:f>IF(Q15="","",IF(Q15="Very poor",1,IF(Q15="Poor",2,IF(Q15="Average",3,IF(Q15="Effective",4,IF(Q15="Very effective",5,""))))))</x:f>
        <x:v>1</x:v>
      </x:c>
      <x:c r="BD15" s="8" t="n">
        <x:f>IF(S15="","",IF(S15="Never",1,IF(S15="Rarely",2,IF(S15="Sometimes",3,IF(S15="Often",4,IF(S15="Always",5,""))))))</x:f>
        <x:v>3</x:v>
      </x:c>
      <x:c r="BE15" s="8" t="n">
        <x:f>IF(U15="","",IF(U15="Very poor",1,IF(U15="Poor",2,IF(U15="Average",3,IF(U15="Good",4,IF(U15="Very good",5,""))))))</x:f>
        <x:v>4</x:v>
      </x:c>
      <x:c r="BF15" s="8" t="n">
        <x:f>IF(V15="","",IF(V15="Very poor",1,IF(V15="Poor",2,IF(V15="Average",3,IF(V15="Good",4,IF(V15="Very good",5,""))))))</x:f>
        <x:v>2</x:v>
      </x:c>
      <x:c r="BG15" s="8" t="n">
        <x:f>IF(AB15="","",IF(AB15="Never",1,IF(AB15="Rarely",2,IF(AB15="Sometimes",3,IF(AB15="Often",4,IF(AB15="Always",5,""))))))</x:f>
        <x:v>3</x:v>
      </x:c>
      <x:c r="BH15" s="8" t="n">
        <x:f>IF(AF15="","",IF(AF15="Very poor",1,IF(AF15="Poor",2,IF(AF15="Average",3,IF(AF15="Good",4,IF(AF15="Very good",5,""))))))</x:f>
        <x:v>3</x:v>
      </x:c>
      <x:c r="BI15" s="8" t="n">
        <x:f>IF(AK15="","",IF(AK15="Very poor",1,IF(AK15="Poor",2,IF(AK15="Average",3,IF(AK15="Good",4,IF(AK15="Very good",5,""))))))</x:f>
        <x:v>4</x:v>
      </x:c>
      <x:c r="BJ15" s="8" t="n">
        <x:f>IF(AT15="","",IF(AT15="Very poor",1,IF(AT15="Poor",2,IF(AT15="Average",3,IF(AT15="Good",4,IF(AT15="Very good",5,""))))))</x:f>
        <x:v>3</x:v>
      </x:c>
      <x:c r="BK15" s="8"/>
    </x:row>
    <x:row r="16">
      <x:c r="A16" t="str">
        <x:v>SIM-11</x:v>
      </x:c>
      <x:c r="B16" t="str">
        <x:v>Synthetic</x:v>
      </x:c>
      <x:c r="C16" s="9" t="str">
        <x:v>Student</x:v>
      </x:c>
      <x:c r="D16" s="9" t="str">
        <x:v>Several times a week</x:v>
      </x:c>
      <x:c r="E16" s="9" t="str">
        <x:v>5–6 hours</x:v>
      </x:c>
      <x:c r="F16" s="9" t="str">
        <x:v>Cafeteria</x:v>
      </x:c>
      <x:c r="G16" s="9" t="str">
        <x:v>Average</x:v>
      </x:c>
      <x:c r="H16" s="9" t="str">
        <x:v>Yes—unpleasant odor near some washrooms.</x:v>
      </x:c>
      <x:c r="I16" s="9" t="str">
        <x:v>Average</x:v>
      </x:c>
      <x:c r="J16" s="9" t="str">
        <x:v>Average</x:v>
      </x:c>
      <x:c r="K16" s="9" t="str">
        <x:v>Yes</x:v>
      </x:c>
      <x:c r="L16" s="9" t="str">
        <x:v>No persistent excessive noise; construction can be audible.</x:v>
      </x:c>
      <x:c r="M16" s="9" t="str">
        <x:v>Sometimes dust near the lower level or adjacent construction.</x:v>
      </x:c>
      <x:c r="N16" s="9" t="str">
        <x:v>Open areas near the department and poorly ventilated washrooms.</x:v>
      </x:c>
      <x:c r="O16" s="9" t="str">
        <x:v>Yes</x:v>
      </x:c>
      <x:c r="P16" s="9" t="str">
        <x:v>No</x:v>
      </x:c>
      <x:c r="Q16" s="9" t="str">
        <x:v>Poor</x:v>
      </x:c>
      <x:c r="R16" s="9" t="str">
        <x:v>Paper, Plastic, Food waste</x:v>
      </x:c>
      <x:c r="S16" s="9" t="str">
        <x:v>Rarely</x:v>
      </x:c>
      <x:c r="T16" s="9" t="str">
        <x:v>Separate cafeteria food waste for composting and label the bins.</x:v>
      </x:c>
      <x:c r="U16" s="9" t="str">
        <x:v>Good</x:v>
      </x:c>
      <x:c r="V16" s="9" t="str">
        <x:v>Poor</x:v>
      </x:c>
      <x:c r="W16" s="9" t="str">
        <x:v>Sometimes—running taps in washrooms.</x:v>
      </x:c>
      <x:c r="X16" s="9" t="str">
        <x:v>No standing water noticed around the building.</x:v>
      </x:c>
      <x:c r="Y16" s="9" t="str">
        <x:v>Yes</x:v>
      </x:c>
      <x:c r="Z16" s="9" t="str">
        <x:v>Clogging and delayed cleaning in some washrooms.</x:v>
      </x:c>
      <x:c r="AA16" s="9" t="str">
        <x:v>Somewhat</x:v>
      </x:c>
      <x:c r="AB16" s="9" t="str">
        <x:v>Sometimes</x:v>
      </x:c>
      <x:c r="AC16" s="9" t="str">
        <x:v>LED lighting is noticeable; no occupancy sensors noticed. Windows exist but ventilation varies.</x:v>
      </x:c>
      <x:c r="AD16" s="9" t="str">
        <x:v>Put switch-off reminders at classroom exits and use a closing checklist.</x:v>
      </x:c>
      <x:c r="AE16" s="9" t="str">
        <x:v>Yes for most work, though double-sided printing could improve use.</x:v>
      </x:c>
      <x:c r="AF16" s="9" t="str">
        <x:v>Good</x:v>
      </x:c>
      <x:c r="AG16" s="9" t="str">
        <x:v>Yes</x:v>
      </x:c>
      <x:c r="AH16" s="9" t="str">
        <x:v>No</x:v>
      </x:c>
      <x:c r="AI16" s="9" t="str">
        <x:v>No</x:v>
      </x:c>
      <x:c r="AJ16" s="9" t="str">
        <x:v>Add planters near corridors and increase shade in outdoor seating.</x:v>
      </x:c>
      <x:c r="AK16" s="9" t="str">
        <x:v>Good</x:v>
      </x:c>
      <x:c r="AL16" s="9" t="str">
        <x:v>No</x:v>
      </x:c>
      <x:c r="AM16" s="9" t="str">
        <x:v>Yes</x:v>
      </x:c>
      <x:c r="AN16" s="9" t="str">
        <x:v>Somewhat</x:v>
      </x:c>
      <x:c r="AO16" s="9" t="str">
        <x:v>Minor noise near parking at busy times.</x:v>
      </x:c>
      <x:c r="AP16" s="9" t="str">
        <x:v>Occasional construction noise affects comfort.</x:v>
      </x:c>
      <x:c r="AQ16" s="9" t="str">
        <x:v>Somewhat</x:v>
      </x:c>
      <x:c r="AR16" s="9" t="str">
        <x:v>No</x:v>
      </x:c>
      <x:c r="AS16" s="9" t="str">
        <x:v>Observed a leaking tap; no emergency incident.</x:v>
      </x:c>
      <x:c r="AT16" s="9" t="str">
        <x:v>Poor</x:v>
      </x:c>
      <x:c r="AU16" s="9" t="str">
        <x:v>Washroom ventilation; unclear fire evacuation information; waste mixing.</x:v>
      </x:c>
      <x:c r="AV16" s="9" t="str">
        <x:v>Fire route signs and practical training, because users need clear instructions.</x:v>
      </x:c>
      <x:c r="AW16" s="9" t="str">
        <x:v>Introduce room shutdown checks, separate waste, and maintain washrooms.</x:v>
      </x:c>
      <x:c r="AX16" s="9" t="str">
        <x:v>Yes</x:v>
      </x:c>
      <x:c r="AY16" s="9" t="str">
        <x:v>Consider an exhaust fan for the male prayer room and a shoe rack outside.</x:v>
      </x:c>
      <x:c r="AZ16" s="8" t="n">
        <x:f>IF(G16="","",IF(G16="Very poor",1,IF(G16="Poor",2,IF(G16="Average",3,IF(G16="Good",4,IF(G16="Very good",5,""))))))</x:f>
        <x:v>3</x:v>
      </x:c>
      <x:c r="BA16" s="8" t="n">
        <x:f>IF(I16="","",IF(I16="Very poor",1,IF(I16="Poor",2,IF(I16="Average",3,IF(I16="Good",4,IF(I16="Very good",5,""))))))</x:f>
        <x:v>3</x:v>
      </x:c>
      <x:c r="BB16" s="8" t="n">
        <x:f>IF(J16="","",IF(J16="Very poor",1,IF(J16="Poor",2,IF(J16="Average",3,IF(J16="Good",4,IF(J16="Very good",5,""))))))</x:f>
        <x:v>3</x:v>
      </x:c>
      <x:c r="BC16" s="8" t="n">
        <x:f>IF(Q16="","",IF(Q16="Very poor",1,IF(Q16="Poor",2,IF(Q16="Average",3,IF(Q16="Effective",4,IF(Q16="Very effective",5,""))))))</x:f>
        <x:v>2</x:v>
      </x:c>
      <x:c r="BD16" s="8" t="n">
        <x:f>IF(S16="","",IF(S16="Never",1,IF(S16="Rarely",2,IF(S16="Sometimes",3,IF(S16="Often",4,IF(S16="Always",5,""))))))</x:f>
        <x:v>2</x:v>
      </x:c>
      <x:c r="BE16" s="8" t="n">
        <x:f>IF(U16="","",IF(U16="Very poor",1,IF(U16="Poor",2,IF(U16="Average",3,IF(U16="Good",4,IF(U16="Very good",5,""))))))</x:f>
        <x:v>4</x:v>
      </x:c>
      <x:c r="BF16" s="8" t="n">
        <x:f>IF(V16="","",IF(V16="Very poor",1,IF(V16="Poor",2,IF(V16="Average",3,IF(V16="Good",4,IF(V16="Very good",5,""))))))</x:f>
        <x:v>2</x:v>
      </x:c>
      <x:c r="BG16" s="8" t="n">
        <x:f>IF(AB16="","",IF(AB16="Never",1,IF(AB16="Rarely",2,IF(AB16="Sometimes",3,IF(AB16="Often",4,IF(AB16="Always",5,""))))))</x:f>
        <x:v>3</x:v>
      </x:c>
      <x:c r="BH16" s="8" t="n">
        <x:f>IF(AF16="","",IF(AF16="Very poor",1,IF(AF16="Poor",2,IF(AF16="Average",3,IF(AF16="Good",4,IF(AF16="Very good",5,""))))))</x:f>
        <x:v>4</x:v>
      </x:c>
      <x:c r="BI16" s="8" t="n">
        <x:f>IF(AK16="","",IF(AK16="Very poor",1,IF(AK16="Poor",2,IF(AK16="Average",3,IF(AK16="Good",4,IF(AK16="Very good",5,""))))))</x:f>
        <x:v>4</x:v>
      </x:c>
      <x:c r="BJ16" s="8" t="n">
        <x:f>IF(AT16="","",IF(AT16="Very poor",1,IF(AT16="Poor",2,IF(AT16="Average",3,IF(AT16="Good",4,IF(AT16="Very good",5,""))))))</x:f>
        <x:v>2</x:v>
      </x:c>
      <x:c r="BK16" s="8"/>
    </x:row>
    <x:row r="17">
      <x:c r="A17" t="str">
        <x:v>SIM-12</x:v>
      </x:c>
      <x:c r="B17" t="str">
        <x:v>Synthetic</x:v>
      </x:c>
      <x:c r="C17" s="9" t="str">
        <x:v>Student</x:v>
      </x:c>
      <x:c r="D17" s="9" t="str">
        <x:v>Several times a week</x:v>
      </x:c>
      <x:c r="E17" s="9" t="str">
        <x:v>3–4 hours</x:v>
      </x:c>
      <x:c r="F17" s="9" t="str">
        <x:v>Corridor</x:v>
      </x:c>
      <x:c r="G17" s="9" t="str">
        <x:v>Poor</x:v>
      </x:c>
      <x:c r="H17" s="9" t="str">
        <x:v>Yes—stuffiness in washrooms and nearby corridors.</x:v>
      </x:c>
      <x:c r="I17" s="9" t="str">
        <x:v>Poor</x:v>
      </x:c>
      <x:c r="J17" s="9" t="str">
        <x:v>Poor</x:v>
      </x:c>
      <x:c r="K17" s="9" t="str">
        <x:v>Somewhat</x:v>
      </x:c>
      <x:c r="L17" s="9" t="str">
        <x:v>Construction noise is noticeable at times.</x:v>
      </x:c>
      <x:c r="M17" s="9" t="str">
        <x:v>No obvious indoor pollution observed.</x:v>
      </x:c>
      <x:c r="N17" s="9" t="str">
        <x:v>Ground-floor corridor and washroom areas.</x:v>
      </x:c>
      <x:c r="O17" s="9" t="str">
        <x:v>Yes</x:v>
      </x:c>
      <x:c r="P17" s="9" t="str">
        <x:v>No</x:v>
      </x:c>
      <x:c r="Q17" s="9" t="str">
        <x:v>Very poor</x:v>
      </x:c>
      <x:c r="R17" s="9" t="str">
        <x:v>Paper, Plastic, Food waste</x:v>
      </x:c>
      <x:c r="S17" s="9" t="str">
        <x:v>Never</x:v>
      </x:c>
      <x:c r="T17" s="9" t="str">
        <x:v>Add clear sorting signs and brief user awareness messages.</x:v>
      </x:c>
      <x:c r="U17" s="9" t="str">
        <x:v>Very good</x:v>
      </x:c>
      <x:c r="V17" s="9" t="str">
        <x:v>Very poor</x:v>
      </x:c>
      <x:c r="W17" s="9" t="str">
        <x:v>Yes—occasional water wastage near washbasins.</x:v>
      </x:c>
      <x:c r="X17" s="9" t="str">
        <x:v>No standing water noticed around the building.</x:v>
      </x:c>
      <x:c r="Y17" s="9" t="str">
        <x:v>Somewhat</x:v>
      </x:c>
      <x:c r="Z17" s="9" t="str">
        <x:v>Leaking taps and occasional flush problems.</x:v>
      </x:c>
      <x:c r="AA17" s="9" t="str">
        <x:v>No</x:v>
      </x:c>
      <x:c r="AB17" s="9" t="str">
        <x:v>Often</x:v>
      </x:c>
      <x:c r="AC17" s="9" t="str">
        <x:v>LED lighting is noticeable; no occupancy sensors noticed. Windows exist but ventilation varies.</x:v>
      </x:c>
      <x:c r="AD17" s="9" t="str">
        <x:v>Service AC units and switch off lights and fans after use.</x:v>
      </x:c>
      <x:c r="AE17" s="9" t="str">
        <x:v>Somewhat—reuse one-sided paper for internal drafts.</x:v>
      </x:c>
      <x:c r="AF17" s="9" t="str">
        <x:v>Good</x:v>
      </x:c>
      <x:c r="AG17" s="9" t="str">
        <x:v>Somewhat</x:v>
      </x:c>
      <x:c r="AH17" s="9" t="str">
        <x:v>Rarely</x:v>
      </x:c>
      <x:c r="AI17" s="9" t="str">
        <x:v>Somewhat</x:v>
      </x:c>
      <x:c r="AJ17" s="9" t="str">
        <x:v>Care for existing trees and introduce low-maintenance floor planters.</x:v>
      </x:c>
      <x:c r="AK17" s="9" t="str">
        <x:v>Average</x:v>
      </x:c>
      <x:c r="AL17" s="9" t="str">
        <x:v>Somewhat</x:v>
      </x:c>
      <x:c r="AM17" s="9" t="str">
        <x:v>Somewhat</x:v>
      </x:c>
      <x:c r="AN17" s="9" t="str">
        <x:v>Yes</x:v>
      </x:c>
      <x:c r="AO17" s="9" t="str">
        <x:v>No major transport-related problem noticed.</x:v>
      </x:c>
      <x:c r="AP17" s="9" t="str">
        <x:v>Washroom odor can reduce comfort; no other major issue noticed.</x:v>
      </x:c>
      <x:c r="AQ17" s="9" t="str">
        <x:v>No</x:v>
      </x:c>
      <x:c r="AR17" s="9" t="str">
        <x:v>Somewhat</x:v>
      </x:c>
      <x:c r="AS17" s="9" t="str">
        <x:v>Occasional AC condensate leakage; no major incident.</x:v>
      </x:c>
      <x:c r="AT17" s="9" t="str">
        <x:v>Average</x:v>
      </x:c>
      <x:c r="AU17" s="9" t="str">
        <x:v>Water leakage; stuffy corridors; insufficient waste sorting.</x:v>
      </x:c>
      <x:c r="AV17" s="9" t="str">
        <x:v>Repair water leakage to reduce wastage and improve sanitation.</x:v>
      </x:c>
      <x:c r="AW17" s="9" t="str">
        <x:v>Post evacuation maps, improve washroom cleaning, and add indoor plants.</x:v>
      </x:c>
      <x:c r="AX17" s="9" t="str">
        <x:v>Maybe</x:v>
      </x:c>
      <x:c r="AY17" s="9" t="str">
        <x:v>Check AC water leakage and keep nearby floors dry.</x:v>
      </x:c>
      <x:c r="AZ17" s="8" t="n">
        <x:f>IF(G17="","",IF(G17="Very poor",1,IF(G17="Poor",2,IF(G17="Average",3,IF(G17="Good",4,IF(G17="Very good",5,""))))))</x:f>
        <x:v>2</x:v>
      </x:c>
      <x:c r="BA17" s="8" t="n">
        <x:f>IF(I17="","",IF(I17="Very poor",1,IF(I17="Poor",2,IF(I17="Average",3,IF(I17="Good",4,IF(I17="Very good",5,""))))))</x:f>
        <x:v>2</x:v>
      </x:c>
      <x:c r="BB17" s="8" t="n">
        <x:f>IF(J17="","",IF(J17="Very poor",1,IF(J17="Poor",2,IF(J17="Average",3,IF(J17="Good",4,IF(J17="Very good",5,""))))))</x:f>
        <x:v>2</x:v>
      </x:c>
      <x:c r="BC17" s="8" t="n">
        <x:f>IF(Q17="","",IF(Q17="Very poor",1,IF(Q17="Poor",2,IF(Q17="Average",3,IF(Q17="Effective",4,IF(Q17="Very effective",5,""))))))</x:f>
        <x:v>1</x:v>
      </x:c>
      <x:c r="BD17" s="8" t="n">
        <x:f>IF(S17="","",IF(S17="Never",1,IF(S17="Rarely",2,IF(S17="Sometimes",3,IF(S17="Often",4,IF(S17="Always",5,""))))))</x:f>
        <x:v>1</x:v>
      </x:c>
      <x:c r="BE17" s="8" t="n">
        <x:f>IF(U17="","",IF(U17="Very poor",1,IF(U17="Poor",2,IF(U17="Average",3,IF(U17="Good",4,IF(U17="Very good",5,""))))))</x:f>
        <x:v>5</x:v>
      </x:c>
      <x:c r="BF17" s="8" t="n">
        <x:f>IF(V17="","",IF(V17="Very poor",1,IF(V17="Poor",2,IF(V17="Average",3,IF(V17="Good",4,IF(V17="Very good",5,""))))))</x:f>
        <x:v>1</x:v>
      </x:c>
      <x:c r="BG17" s="8" t="n">
        <x:f>IF(AB17="","",IF(AB17="Never",1,IF(AB17="Rarely",2,IF(AB17="Sometimes",3,IF(AB17="Often",4,IF(AB17="Always",5,""))))))</x:f>
        <x:v>4</x:v>
      </x:c>
      <x:c r="BH17" s="8" t="n">
        <x:f>IF(AF17="","",IF(AF17="Very poor",1,IF(AF17="Poor",2,IF(AF17="Average",3,IF(AF17="Good",4,IF(AF17="Very good",5,""))))))</x:f>
        <x:v>4</x:v>
      </x:c>
      <x:c r="BI17" s="8" t="n">
        <x:f>IF(AK17="","",IF(AK17="Very poor",1,IF(AK17="Poor",2,IF(AK17="Average",3,IF(AK17="Good",4,IF(AK17="Very good",5,""))))))</x:f>
        <x:v>3</x:v>
      </x:c>
      <x:c r="BJ17" s="8" t="n">
        <x:f>IF(AT17="","",IF(AT17="Very poor",1,IF(AT17="Poor",2,IF(AT17="Average",3,IF(AT17="Good",4,IF(AT17="Very good",5,""))))))</x:f>
        <x:v>3</x:v>
      </x:c>
      <x:c r="BK17" s="8"/>
    </x:row>
    <x:row r="18">
      <x:c r="A18" t="str">
        <x:v>SIM-13</x:v>
      </x:c>
      <x:c r="B18" t="str">
        <x:v>Synthetic</x:v>
      </x:c>
      <x:c r="C18" s="9" t="str">
        <x:v>Staff</x:v>
      </x:c>
      <x:c r="D18" s="9" t="str">
        <x:v>Daily</x:v>
      </x:c>
      <x:c r="E18" s="9" t="str">
        <x:v>7–8 hours</x:v>
      </x:c>
      <x:c r="F18" s="9" t="str">
        <x:v>Office</x:v>
      </x:c>
      <x:c r="G18" s="9" t="str">
        <x:v>Poor</x:v>
      </x:c>
      <x:c r="H18" s="9" t="str">
        <x:v>Yes—unpleasant odor near some washrooms.</x:v>
      </x:c>
      <x:c r="I18" s="9" t="str">
        <x:v>Poor</x:v>
      </x:c>
      <x:c r="J18" s="9" t="str">
        <x:v>Poor</x:v>
      </x:c>
      <x:c r="K18" s="9" t="str">
        <x:v>Yes</x:v>
      </x:c>
      <x:c r="L18" s="9" t="str">
        <x:v>Occasional noise from nearby construction.</x:v>
      </x:c>
      <x:c r="M18" s="9" t="str">
        <x:v>No persistent indoor smoke observed; occasional dust near ground-floor parking.</x:v>
      </x:c>
      <x:c r="N18" s="9" t="str">
        <x:v>Department corridors and washrooms.</x:v>
      </x:c>
      <x:c r="O18" s="9" t="str">
        <x:v>Yes</x:v>
      </x:c>
      <x:c r="P18" s="9" t="str">
        <x:v>No</x:v>
      </x:c>
      <x:c r="Q18" s="9" t="str">
        <x:v>Poor</x:v>
      </x:c>
      <x:c r="R18" s="9" t="str">
        <x:v>Paper, Plastic, Food waste</x:v>
      </x:c>
      <x:c r="S18" s="9" t="str">
        <x:v>Rarely</x:v>
      </x:c>
      <x:c r="T18" s="9" t="str">
        <x:v>Introduce labeled paper, plastic, and food-waste bins.</x:v>
      </x:c>
      <x:c r="U18" s="9" t="str">
        <x:v>Good</x:v>
      </x:c>
      <x:c r="V18" s="9" t="str">
        <x:v>Poor</x:v>
      </x:c>
      <x:c r="W18" s="9" t="str">
        <x:v>Yes—leaking taps or flushes in washrooms.</x:v>
      </x:c>
      <x:c r="X18" s="9" t="str">
        <x:v>No standing water noticed around the building.</x:v>
      </x:c>
      <x:c r="Y18" s="9" t="str">
        <x:v>Yes</x:v>
      </x:c>
      <x:c r="Z18" s="9" t="str">
        <x:v>Occasional blocked flush and washroom odor.</x:v>
      </x:c>
      <x:c r="AA18" s="9" t="str">
        <x:v>Somewhat</x:v>
      </x:c>
      <x:c r="AB18" s="9" t="str">
        <x:v>Sometimes</x:v>
      </x:c>
      <x:c r="AC18" s="9" t="str">
        <x:v>LED lighting is noticeable; no occupancy sensors noticed. Windows exist but ventilation varies.</x:v>
      </x:c>
      <x:c r="AD18" s="9" t="str">
        <x:v>Install occupancy sensors in suitable rooms and set an AC shutdown routine.</x:v>
      </x:c>
      <x:c r="AE18" s="9" t="str">
        <x:v>Somewhat—online submission can reduce printing.</x:v>
      </x:c>
      <x:c r="AF18" s="9" t="str">
        <x:v>Good</x:v>
      </x:c>
      <x:c r="AG18" s="9" t="str">
        <x:v>Somewhat</x:v>
      </x:c>
      <x:c r="AH18" s="9" t="str">
        <x:v>Rarely</x:v>
      </x:c>
      <x:c r="AI18" s="9" t="str">
        <x:v>Somewhat</x:v>
      </x:c>
      <x:c r="AJ18" s="9" t="str">
        <x:v>Maintain existing greenery and add suitable indoor plants on each floor.</x:v>
      </x:c>
      <x:c r="AK18" s="9" t="str">
        <x:v>Good</x:v>
      </x:c>
      <x:c r="AL18" s="9" t="str">
        <x:v>No</x:v>
      </x:c>
      <x:c r="AM18" s="9" t="str">
        <x:v>Yes</x:v>
      </x:c>
      <x:c r="AN18" s="9" t="str">
        <x:v>Yes</x:v>
      </x:c>
      <x:c r="AO18" s="9" t="str">
        <x:v>Occasional vehicle noise; no major persistent issue noticed.</x:v>
      </x:c>
      <x:c r="AP18" s="9" t="str">
        <x:v>Poor washroom conditions and stuffy corridors may affect comfort.</x:v>
      </x:c>
      <x:c r="AQ18" s="9" t="str">
        <x:v>No</x:v>
      </x:c>
      <x:c r="AR18" s="9" t="str">
        <x:v>Somewhat</x:v>
      </x:c>
      <x:c r="AS18" s="9" t="str">
        <x:v>No specific incident observed.</x:v>
      </x:c>
      <x:c r="AT18" s="9" t="str">
        <x:v>Average</x:v>
      </x:c>
      <x:c r="AU18" s="9" t="str">
        <x:v>Washroom hygiene; weak waste segregation; inefficient electricity use.</x:v>
      </x:c>
      <x:c r="AV18" s="9" t="str">
        <x:v>Washroom hygiene, because it affects daily comfort and water use.</x:v>
      </x:c>
      <x:c r="AW18" s="9" t="str">
        <x:v>Repair taps and flushes; add labeled bins; train occupants on fire safety.</x:v>
      </x:c>
      <x:c r="AX18" s="9" t="str">
        <x:v>Yes</x:v>
      </x:c>
      <x:c r="AY18" s="9" t="str">
        <x:v>A shoe rack by the male prayer room could keep the corridor clear.</x:v>
      </x:c>
      <x:c r="AZ18" s="8" t="n">
        <x:f>IF(G18="","",IF(G18="Very poor",1,IF(G18="Poor",2,IF(G18="Average",3,IF(G18="Good",4,IF(G18="Very good",5,""))))))</x:f>
        <x:v>2</x:v>
      </x:c>
      <x:c r="BA18" s="8" t="n">
        <x:f>IF(I18="","",IF(I18="Very poor",1,IF(I18="Poor",2,IF(I18="Average",3,IF(I18="Good",4,IF(I18="Very good",5,""))))))</x:f>
        <x:v>2</x:v>
      </x:c>
      <x:c r="BB18" s="8" t="n">
        <x:f>IF(J18="","",IF(J18="Very poor",1,IF(J18="Poor",2,IF(J18="Average",3,IF(J18="Good",4,IF(J18="Very good",5,""))))))</x:f>
        <x:v>2</x:v>
      </x:c>
      <x:c r="BC18" s="8" t="n">
        <x:f>IF(Q18="","",IF(Q18="Very poor",1,IF(Q18="Poor",2,IF(Q18="Average",3,IF(Q18="Effective",4,IF(Q18="Very effective",5,""))))))</x:f>
        <x:v>2</x:v>
      </x:c>
      <x:c r="BD18" s="8" t="n">
        <x:f>IF(S18="","",IF(S18="Never",1,IF(S18="Rarely",2,IF(S18="Sometimes",3,IF(S18="Often",4,IF(S18="Always",5,""))))))</x:f>
        <x:v>2</x:v>
      </x:c>
      <x:c r="BE18" s="8" t="n">
        <x:f>IF(U18="","",IF(U18="Very poor",1,IF(U18="Poor",2,IF(U18="Average",3,IF(U18="Good",4,IF(U18="Very good",5,""))))))</x:f>
        <x:v>4</x:v>
      </x:c>
      <x:c r="BF18" s="8" t="n">
        <x:f>IF(V18="","",IF(V18="Very poor",1,IF(V18="Poor",2,IF(V18="Average",3,IF(V18="Good",4,IF(V18="Very good",5,""))))))</x:f>
        <x:v>2</x:v>
      </x:c>
      <x:c r="BG18" s="8" t="n">
        <x:f>IF(AB18="","",IF(AB18="Never",1,IF(AB18="Rarely",2,IF(AB18="Sometimes",3,IF(AB18="Often",4,IF(AB18="Always",5,""))))))</x:f>
        <x:v>3</x:v>
      </x:c>
      <x:c r="BH18" s="8" t="n">
        <x:f>IF(AF18="","",IF(AF18="Very poor",1,IF(AF18="Poor",2,IF(AF18="Average",3,IF(AF18="Good",4,IF(AF18="Very good",5,""))))))</x:f>
        <x:v>4</x:v>
      </x:c>
      <x:c r="BI18" s="8" t="n">
        <x:f>IF(AK18="","",IF(AK18="Very poor",1,IF(AK18="Poor",2,IF(AK18="Average",3,IF(AK18="Good",4,IF(AK18="Very good",5,""))))))</x:f>
        <x:v>4</x:v>
      </x:c>
      <x:c r="BJ18" s="8" t="n">
        <x:f>IF(AT18="","",IF(AT18="Very poor",1,IF(AT18="Poor",2,IF(AT18="Average",3,IF(AT18="Good",4,IF(AT18="Very good",5,""))))))</x:f>
        <x:v>3</x:v>
      </x:c>
      <x:c r="BK18" s="8"/>
    </x:row>
    <x:row r="19">
      <x:c r="A19" t="str">
        <x:v>SIM-14</x:v>
      </x:c>
      <x:c r="B19" t="str">
        <x:v>Synthetic</x:v>
      </x:c>
      <x:c r="C19" s="9" t="str">
        <x:v>Staff</x:v>
      </x:c>
      <x:c r="D19" s="9" t="str">
        <x:v>Daily</x:v>
      </x:c>
      <x:c r="E19" s="9" t="str">
        <x:v>7–8 hours</x:v>
      </x:c>
      <x:c r="F19" s="9" t="str">
        <x:v>Office</x:v>
      </x:c>
      <x:c r="G19" s="9" t="str">
        <x:v>Average</x:v>
      </x:c>
      <x:c r="H19" s="9" t="str">
        <x:v>Yes—stuffiness in washrooms and nearby corridors.</x:v>
      </x:c>
      <x:c r="I19" s="9" t="str">
        <x:v>Average</x:v>
      </x:c>
      <x:c r="J19" s="9" t="str">
        <x:v>Average</x:v>
      </x:c>
      <x:c r="K19" s="9" t="str">
        <x:v>Somewhat</x:v>
      </x:c>
      <x:c r="L19" s="9" t="str">
        <x:v>No persistent excessive noise; construction can be audible.</x:v>
      </x:c>
      <x:c r="M19" s="9" t="str">
        <x:v>Sometimes dust near the lower level or adjacent construction.</x:v>
      </x:c>
      <x:c r="N19" s="9" t="str">
        <x:v>Open areas near the department and poorly ventilated washrooms.</x:v>
      </x:c>
      <x:c r="O19" s="9" t="str">
        <x:v>Yes</x:v>
      </x:c>
      <x:c r="P19" s="9" t="str">
        <x:v>No</x:v>
      </x:c>
      <x:c r="Q19" s="9" t="str">
        <x:v>Very poor</x:v>
      </x:c>
      <x:c r="R19" s="9" t="str">
        <x:v>Paper, Plastic, Food waste</x:v>
      </x:c>
      <x:c r="S19" s="9" t="str">
        <x:v>Never</x:v>
      </x:c>
      <x:c r="T19" s="9" t="str">
        <x:v>Separate cafeteria food waste for composting and label the bins.</x:v>
      </x:c>
      <x:c r="U19" s="9" t="str">
        <x:v>Very good</x:v>
      </x:c>
      <x:c r="V19" s="9" t="str">
        <x:v>Very poor</x:v>
      </x:c>
      <x:c r="W19" s="9" t="str">
        <x:v>Sometimes—running taps in washrooms.</x:v>
      </x:c>
      <x:c r="X19" s="9" t="str">
        <x:v>No standing water noticed around the building.</x:v>
      </x:c>
      <x:c r="Y19" s="9" t="str">
        <x:v>Yes</x:v>
      </x:c>
      <x:c r="Z19" s="9" t="str">
        <x:v>Clogging and delayed cleaning in some washrooms.</x:v>
      </x:c>
      <x:c r="AA19" s="9" t="str">
        <x:v>No</x:v>
      </x:c>
      <x:c r="AB19" s="9" t="str">
        <x:v>Often</x:v>
      </x:c>
      <x:c r="AC19" s="9" t="str">
        <x:v>LED lighting is noticeable; no occupancy sensors noticed. Windows exist but ventilation varies.</x:v>
      </x:c>
      <x:c r="AD19" s="9" t="str">
        <x:v>Put switch-off reminders at classroom exits and use a closing checklist.</x:v>
      </x:c>
      <x:c r="AE19" s="9" t="str">
        <x:v>Yes for most work, though double-sided printing could improve use.</x:v>
      </x:c>
      <x:c r="AF19" s="9" t="str">
        <x:v>Good</x:v>
      </x:c>
      <x:c r="AG19" s="9" t="str">
        <x:v>Yes</x:v>
      </x:c>
      <x:c r="AH19" s="9" t="str">
        <x:v>No</x:v>
      </x:c>
      <x:c r="AI19" s="9" t="str">
        <x:v>No</x:v>
      </x:c>
      <x:c r="AJ19" s="9" t="str">
        <x:v>Add planters near corridors and increase shade in outdoor seating.</x:v>
      </x:c>
      <x:c r="AK19" s="9" t="str">
        <x:v>Good</x:v>
      </x:c>
      <x:c r="AL19" s="9" t="str">
        <x:v>No</x:v>
      </x:c>
      <x:c r="AM19" s="9" t="str">
        <x:v>Yes</x:v>
      </x:c>
      <x:c r="AN19" s="9" t="str">
        <x:v>Somewhat</x:v>
      </x:c>
      <x:c r="AO19" s="9" t="str">
        <x:v>Minor noise near parking at busy times.</x:v>
      </x:c>
      <x:c r="AP19" s="9" t="str">
        <x:v>Occasional construction noise affects comfort.</x:v>
      </x:c>
      <x:c r="AQ19" s="9" t="str">
        <x:v>Somewhat</x:v>
      </x:c>
      <x:c r="AR19" s="9" t="str">
        <x:v>No</x:v>
      </x:c>
      <x:c r="AS19" s="9" t="str">
        <x:v>Observed a leaking tap; no emergency incident.</x:v>
      </x:c>
      <x:c r="AT19" s="9" t="str">
        <x:v>Poor</x:v>
      </x:c>
      <x:c r="AU19" s="9" t="str">
        <x:v>Washroom ventilation; unclear fire evacuation information; waste mixing.</x:v>
      </x:c>
      <x:c r="AV19" s="9" t="str">
        <x:v>Fire route signs and practical training, because users need clear instructions.</x:v>
      </x:c>
      <x:c r="AW19" s="9" t="str">
        <x:v>Introduce room shutdown checks, separate waste, and maintain washrooms.</x:v>
      </x:c>
      <x:c r="AX19" s="9" t="str">
        <x:v>Yes</x:v>
      </x:c>
      <x:c r="AY19" s="9" t="str">
        <x:v>Consider an exhaust fan for the male prayer room and a shoe rack outside.</x:v>
      </x:c>
      <x:c r="AZ19" s="8" t="n">
        <x:f>IF(G19="","",IF(G19="Very poor",1,IF(G19="Poor",2,IF(G19="Average",3,IF(G19="Good",4,IF(G19="Very good",5,""))))))</x:f>
        <x:v>3</x:v>
      </x:c>
      <x:c r="BA19" s="8" t="n">
        <x:f>IF(I19="","",IF(I19="Very poor",1,IF(I19="Poor",2,IF(I19="Average",3,IF(I19="Good",4,IF(I19="Very good",5,""))))))</x:f>
        <x:v>3</x:v>
      </x:c>
      <x:c r="BB19" s="8" t="n">
        <x:f>IF(J19="","",IF(J19="Very poor",1,IF(J19="Poor",2,IF(J19="Average",3,IF(J19="Good",4,IF(J19="Very good",5,""))))))</x:f>
        <x:v>3</x:v>
      </x:c>
      <x:c r="BC19" s="8" t="n">
        <x:f>IF(Q19="","",IF(Q19="Very poor",1,IF(Q19="Poor",2,IF(Q19="Average",3,IF(Q19="Effective",4,IF(Q19="Very effective",5,""))))))</x:f>
        <x:v>1</x:v>
      </x:c>
      <x:c r="BD19" s="8" t="n">
        <x:f>IF(S19="","",IF(S19="Never",1,IF(S19="Rarely",2,IF(S19="Sometimes",3,IF(S19="Often",4,IF(S19="Always",5,""))))))</x:f>
        <x:v>1</x:v>
      </x:c>
      <x:c r="BE19" s="8" t="n">
        <x:f>IF(U19="","",IF(U19="Very poor",1,IF(U19="Poor",2,IF(U19="Average",3,IF(U19="Good",4,IF(U19="Very good",5,""))))))</x:f>
        <x:v>5</x:v>
      </x:c>
      <x:c r="BF19" s="8" t="n">
        <x:f>IF(V19="","",IF(V19="Very poor",1,IF(V19="Poor",2,IF(V19="Average",3,IF(V19="Good",4,IF(V19="Very good",5,""))))))</x:f>
        <x:v>1</x:v>
      </x:c>
      <x:c r="BG19" s="8" t="n">
        <x:f>IF(AB19="","",IF(AB19="Never",1,IF(AB19="Rarely",2,IF(AB19="Sometimes",3,IF(AB19="Often",4,IF(AB19="Always",5,""))))))</x:f>
        <x:v>4</x:v>
      </x:c>
      <x:c r="BH19" s="8" t="n">
        <x:f>IF(AF19="","",IF(AF19="Very poor",1,IF(AF19="Poor",2,IF(AF19="Average",3,IF(AF19="Good",4,IF(AF19="Very good",5,""))))))</x:f>
        <x:v>4</x:v>
      </x:c>
      <x:c r="BI19" s="8" t="n">
        <x:f>IF(AK19="","",IF(AK19="Very poor",1,IF(AK19="Poor",2,IF(AK19="Average",3,IF(AK19="Good",4,IF(AK19="Very good",5,""))))))</x:f>
        <x:v>4</x:v>
      </x:c>
      <x:c r="BJ19" s="8" t="n">
        <x:f>IF(AT19="","",IF(AT19="Very poor",1,IF(AT19="Poor",2,IF(AT19="Average",3,IF(AT19="Good",4,IF(AT19="Very good",5,""))))))</x:f>
        <x:v>2</x:v>
      </x:c>
      <x:c r="BK19" s="8"/>
    </x:row>
    <x:row r="20">
      <x:c r="A20" t="str">
        <x:v>SIM-15</x:v>
      </x:c>
      <x:c r="B20" t="str">
        <x:v>Synthetic</x:v>
      </x:c>
      <x:c r="C20" s="9" t="str">
        <x:v>Staff</x:v>
      </x:c>
      <x:c r="D20" s="9" t="str">
        <x:v>Daily</x:v>
      </x:c>
      <x:c r="E20" s="9" t="str">
        <x:v>7–8 hours</x:v>
      </x:c>
      <x:c r="F20" s="9" t="str">
        <x:v>Office</x:v>
      </x:c>
      <x:c r="G20" s="9" t="str">
        <x:v>Poor</x:v>
      </x:c>
      <x:c r="H20" s="9" t="str">
        <x:v>Sometimes; washrooms are the main concern.</x:v>
      </x:c>
      <x:c r="I20" s="9" t="str">
        <x:v>Very poor</x:v>
      </x:c>
      <x:c r="J20" s="9" t="str">
        <x:v>Poor</x:v>
      </x:c>
      <x:c r="K20" s="9" t="str">
        <x:v>Yes</x:v>
      </x:c>
      <x:c r="L20" s="9" t="str">
        <x:v>Construction noise is noticeable at times.</x:v>
      </x:c>
      <x:c r="M20" s="9" t="str">
        <x:v>No obvious indoor pollution observed.</x:v>
      </x:c>
      <x:c r="N20" s="9" t="str">
        <x:v>Ground-floor corridor and washroom areas.</x:v>
      </x:c>
      <x:c r="O20" s="9" t="str">
        <x:v>Yes</x:v>
      </x:c>
      <x:c r="P20" s="9" t="str">
        <x:v>No</x:v>
      </x:c>
      <x:c r="Q20" s="9" t="str">
        <x:v>Poor</x:v>
      </x:c>
      <x:c r="R20" s="9" t="str">
        <x:v>Paper, Plastic, Food waste</x:v>
      </x:c>
      <x:c r="S20" s="9" t="str">
        <x:v>Rarely</x:v>
      </x:c>
      <x:c r="T20" s="9" t="str">
        <x:v>Add clear sorting signs and brief user awareness messages.</x:v>
      </x:c>
      <x:c r="U20" s="9" t="str">
        <x:v>Good</x:v>
      </x:c>
      <x:c r="V20" s="9" t="str">
        <x:v>Average</x:v>
      </x:c>
      <x:c r="W20" s="9" t="str">
        <x:v>Yes—occasional water wastage near washbasins.</x:v>
      </x:c>
      <x:c r="X20" s="9" t="str">
        <x:v>No standing water noticed around the building.</x:v>
      </x:c>
      <x:c r="Y20" s="9" t="str">
        <x:v>Somewhat</x:v>
      </x:c>
      <x:c r="Z20" s="9" t="str">
        <x:v>Leaking taps and occasional flush problems.</x:v>
      </x:c>
      <x:c r="AA20" s="9" t="str">
        <x:v>Somewhat</x:v>
      </x:c>
      <x:c r="AB20" s="9" t="str">
        <x:v>Sometimes</x:v>
      </x:c>
      <x:c r="AC20" s="9" t="str">
        <x:v>LED lighting is noticeable; no occupancy sensors noticed. Windows exist but ventilation varies.</x:v>
      </x:c>
      <x:c r="AD20" s="9" t="str">
        <x:v>Service AC units and switch off lights and fans after use.</x:v>
      </x:c>
      <x:c r="AE20" s="9" t="str">
        <x:v>Somewhat—reuse one-sided paper for internal drafts.</x:v>
      </x:c>
      <x:c r="AF20" s="9" t="str">
        <x:v>Very good</x:v>
      </x:c>
      <x:c r="AG20" s="9" t="str">
        <x:v>Somewhat</x:v>
      </x:c>
      <x:c r="AH20" s="9" t="str">
        <x:v>Rarely</x:v>
      </x:c>
      <x:c r="AI20" s="9" t="str">
        <x:v>Somewhat</x:v>
      </x:c>
      <x:c r="AJ20" s="9" t="str">
        <x:v>Care for existing trees and introduce low-maintenance floor planters.</x:v>
      </x:c>
      <x:c r="AK20" s="9" t="str">
        <x:v>Average</x:v>
      </x:c>
      <x:c r="AL20" s="9" t="str">
        <x:v>Somewhat</x:v>
      </x:c>
      <x:c r="AM20" s="9" t="str">
        <x:v>Somewhat</x:v>
      </x:c>
      <x:c r="AN20" s="9" t="str">
        <x:v>Yes</x:v>
      </x:c>
      <x:c r="AO20" s="9" t="str">
        <x:v>No major transport-related problem noticed.</x:v>
      </x:c>
      <x:c r="AP20" s="9" t="str">
        <x:v>Washroom odor can reduce comfort; no other major issue noticed.</x:v>
      </x:c>
      <x:c r="AQ20" s="9" t="str">
        <x:v>No</x:v>
      </x:c>
      <x:c r="AR20" s="9" t="str">
        <x:v>Somewhat</x:v>
      </x:c>
      <x:c r="AS20" s="9" t="str">
        <x:v>Occasional AC condensate leakage; no major incident.</x:v>
      </x:c>
      <x:c r="AT20" s="9" t="str">
        <x:v>Average</x:v>
      </x:c>
      <x:c r="AU20" s="9" t="str">
        <x:v>Water leakage; stuffy corridors; insufficient waste sorting.</x:v>
      </x:c>
      <x:c r="AV20" s="9" t="str">
        <x:v>Repair water leakage to reduce wastage and improve sanitation.</x:v>
      </x:c>
      <x:c r="AW20" s="9" t="str">
        <x:v>Post evacuation maps, improve washroom cleaning, and add indoor plants.</x:v>
      </x:c>
      <x:c r="AX20" s="9" t="str">
        <x:v>Maybe</x:v>
      </x:c>
      <x:c r="AY20" s="9" t="str">
        <x:v>Check AC water leakage and keep nearby floors dry.</x:v>
      </x:c>
      <x:c r="AZ20" s="8" t="n">
        <x:f>IF(G20="","",IF(G20="Very poor",1,IF(G20="Poor",2,IF(G20="Average",3,IF(G20="Good",4,IF(G20="Very good",5,""))))))</x:f>
        <x:v>2</x:v>
      </x:c>
      <x:c r="BA20" s="8" t="n">
        <x:f>IF(I20="","",IF(I20="Very poor",1,IF(I20="Poor",2,IF(I20="Average",3,IF(I20="Good",4,IF(I20="Very good",5,""))))))</x:f>
        <x:v>1</x:v>
      </x:c>
      <x:c r="BB20" s="8" t="n">
        <x:f>IF(J20="","",IF(J20="Very poor",1,IF(J20="Poor",2,IF(J20="Average",3,IF(J20="Good",4,IF(J20="Very good",5,""))))))</x:f>
        <x:v>2</x:v>
      </x:c>
      <x:c r="BC20" s="8" t="n">
        <x:f>IF(Q20="","",IF(Q20="Very poor",1,IF(Q20="Poor",2,IF(Q20="Average",3,IF(Q20="Effective",4,IF(Q20="Very effective",5,""))))))</x:f>
        <x:v>2</x:v>
      </x:c>
      <x:c r="BD20" s="8" t="n">
        <x:f>IF(S20="","",IF(S20="Never",1,IF(S20="Rarely",2,IF(S20="Sometimes",3,IF(S20="Often",4,IF(S20="Always",5,""))))))</x:f>
        <x:v>2</x:v>
      </x:c>
      <x:c r="BE20" s="8" t="n">
        <x:f>IF(U20="","",IF(U20="Very poor",1,IF(U20="Poor",2,IF(U20="Average",3,IF(U20="Good",4,IF(U20="Very good",5,""))))))</x:f>
        <x:v>4</x:v>
      </x:c>
      <x:c r="BF20" s="8" t="n">
        <x:f>IF(V20="","",IF(V20="Very poor",1,IF(V20="Poor",2,IF(V20="Average",3,IF(V20="Good",4,IF(V20="Very good",5,""))))))</x:f>
        <x:v>3</x:v>
      </x:c>
      <x:c r="BG20" s="8" t="n">
        <x:f>IF(AB20="","",IF(AB20="Never",1,IF(AB20="Rarely",2,IF(AB20="Sometimes",3,IF(AB20="Often",4,IF(AB20="Always",5,""))))))</x:f>
        <x:v>3</x:v>
      </x:c>
      <x:c r="BH20" s="8" t="n">
        <x:f>IF(AF20="","",IF(AF20="Very poor",1,IF(AF20="Poor",2,IF(AF20="Average",3,IF(AF20="Good",4,IF(AF20="Very good",5,""))))))</x:f>
        <x:v>5</x:v>
      </x:c>
      <x:c r="BI20" s="8" t="n">
        <x:f>IF(AK20="","",IF(AK20="Very poor",1,IF(AK20="Poor",2,IF(AK20="Average",3,IF(AK20="Good",4,IF(AK20="Very good",5,""))))))</x:f>
        <x:v>3</x:v>
      </x:c>
      <x:c r="BJ20" s="8" t="n">
        <x:f>IF(AT20="","",IF(AT20="Very poor",1,IF(AT20="Poor",2,IF(AT20="Average",3,IF(AT20="Good",4,IF(AT20="Very good",5,""))))))</x:f>
        <x:v>3</x:v>
      </x:c>
      <x:c r="BK20" s="8"/>
    </x:row>
    <x:row r="21">
      <x:c r="A21" t="str">
        <x:v>SIM-16</x:v>
      </x:c>
      <x:c r="B21" t="str">
        <x:v>Synthetic</x:v>
      </x:c>
      <x:c r="C21" s="9" t="str">
        <x:v>Staff</x:v>
      </x:c>
      <x:c r="D21" s="9" t="str">
        <x:v>Daily</x:v>
      </x:c>
      <x:c r="E21" s="9" t="str">
        <x:v>7–8 hours</x:v>
      </x:c>
      <x:c r="F21" s="9" t="str">
        <x:v>Office</x:v>
      </x:c>
      <x:c r="G21" s="9" t="str">
        <x:v>Very poor</x:v>
      </x:c>
      <x:c r="H21" s="9" t="str">
        <x:v>Yes—limited air movement near department corridors.</x:v>
      </x:c>
      <x:c r="I21" s="9" t="str">
        <x:v>Poor</x:v>
      </x:c>
      <x:c r="J21" s="9" t="str">
        <x:v>Very poor</x:v>
      </x:c>
      <x:c r="K21" s="9" t="str">
        <x:v>Somewhat</x:v>
      </x:c>
      <x:c r="L21" s="9" t="str">
        <x:v>Occasional noise from nearby construction.</x:v>
      </x:c>
      <x:c r="M21" s="9" t="str">
        <x:v>No persistent indoor smoke observed; occasional dust near ground-floor parking.</x:v>
      </x:c>
      <x:c r="N21" s="9" t="str">
        <x:v>Department corridors and washrooms.</x:v>
      </x:c>
      <x:c r="O21" s="9" t="str">
        <x:v>Yes</x:v>
      </x:c>
      <x:c r="P21" s="9" t="str">
        <x:v>No</x:v>
      </x:c>
      <x:c r="Q21" s="9" t="str">
        <x:v>Very poor</x:v>
      </x:c>
      <x:c r="R21" s="9" t="str">
        <x:v>Paper, Plastic, Food waste</x:v>
      </x:c>
      <x:c r="S21" s="9" t="str">
        <x:v>Sometimes</x:v>
      </x:c>
      <x:c r="T21" s="9" t="str">
        <x:v>Introduce labeled paper, plastic, and food-waste bins.</x:v>
      </x:c>
      <x:c r="U21" s="9" t="str">
        <x:v>Good</x:v>
      </x:c>
      <x:c r="V21" s="9" t="str">
        <x:v>Poor</x:v>
      </x:c>
      <x:c r="W21" s="9" t="str">
        <x:v>Yes—leaking taps or flushes in washrooms.</x:v>
      </x:c>
      <x:c r="X21" s="9" t="str">
        <x:v>No standing water noticed around the building.</x:v>
      </x:c>
      <x:c r="Y21" s="9" t="str">
        <x:v>Yes</x:v>
      </x:c>
      <x:c r="Z21" s="9" t="str">
        <x:v>Occasional blocked flush and washroom odor.</x:v>
      </x:c>
      <x:c r="AA21" s="9" t="str">
        <x:v>Yes</x:v>
      </x:c>
      <x:c r="AB21" s="9" t="str">
        <x:v>Sometimes</x:v>
      </x:c>
      <x:c r="AC21" s="9" t="str">
        <x:v>LED lighting is noticeable; no occupancy sensors noticed. Windows exist but ventilation varies.</x:v>
      </x:c>
      <x:c r="AD21" s="9" t="str">
        <x:v>Install occupancy sensors in suitable rooms and set an AC shutdown routine.</x:v>
      </x:c>
      <x:c r="AE21" s="9" t="str">
        <x:v>Somewhat—online submission can reduce printing.</x:v>
      </x:c>
      <x:c r="AF21" s="9" t="str">
        <x:v>Average</x:v>
      </x:c>
      <x:c r="AG21" s="9" t="str">
        <x:v>Somewhat</x:v>
      </x:c>
      <x:c r="AH21" s="9" t="str">
        <x:v>Rarely</x:v>
      </x:c>
      <x:c r="AI21" s="9" t="str">
        <x:v>Somewhat</x:v>
      </x:c>
      <x:c r="AJ21" s="9" t="str">
        <x:v>Maintain existing greenery and add suitable indoor plants on each floor.</x:v>
      </x:c>
      <x:c r="AK21" s="9" t="str">
        <x:v>Good</x:v>
      </x:c>
      <x:c r="AL21" s="9" t="str">
        <x:v>No</x:v>
      </x:c>
      <x:c r="AM21" s="9" t="str">
        <x:v>Yes</x:v>
      </x:c>
      <x:c r="AN21" s="9" t="str">
        <x:v>Yes</x:v>
      </x:c>
      <x:c r="AO21" s="9" t="str">
        <x:v>Occasional vehicle noise; no major persistent issue noticed.</x:v>
      </x:c>
      <x:c r="AP21" s="9" t="str">
        <x:v>Poor washroom conditions and stuffy corridors may affect comfort.</x:v>
      </x:c>
      <x:c r="AQ21" s="9" t="str">
        <x:v>No</x:v>
      </x:c>
      <x:c r="AR21" s="9" t="str">
        <x:v>Somewhat</x:v>
      </x:c>
      <x:c r="AS21" s="9" t="str">
        <x:v>No specific incident observed.</x:v>
      </x:c>
      <x:c r="AT21" s="9" t="str">
        <x:v>Average</x:v>
      </x:c>
      <x:c r="AU21" s="9" t="str">
        <x:v>Washroom hygiene; weak waste segregation; inefficient electricity use.</x:v>
      </x:c>
      <x:c r="AV21" s="9" t="str">
        <x:v>Washroom hygiene, because it affects daily comfort and water use.</x:v>
      </x:c>
      <x:c r="AW21" s="9" t="str">
        <x:v>Repair taps and flushes; add labeled bins; train occupants on fire safety.</x:v>
      </x:c>
      <x:c r="AX21" s="9" t="str">
        <x:v>Yes</x:v>
      </x:c>
      <x:c r="AY21" s="9" t="str">
        <x:v>A shoe rack by the male prayer room could keep the corridor clear.</x:v>
      </x:c>
      <x:c r="AZ21" s="8" t="n">
        <x:f>IF(G21="","",IF(G21="Very poor",1,IF(G21="Poor",2,IF(G21="Average",3,IF(G21="Good",4,IF(G21="Very good",5,""))))))</x:f>
        <x:v>1</x:v>
      </x:c>
      <x:c r="BA21" s="8" t="n">
        <x:f>IF(I21="","",IF(I21="Very poor",1,IF(I21="Poor",2,IF(I21="Average",3,IF(I21="Good",4,IF(I21="Very good",5,""))))))</x:f>
        <x:v>2</x:v>
      </x:c>
      <x:c r="BB21" s="8" t="n">
        <x:f>IF(J21="","",IF(J21="Very poor",1,IF(J21="Poor",2,IF(J21="Average",3,IF(J21="Good",4,IF(J21="Very good",5,""))))))</x:f>
        <x:v>1</x:v>
      </x:c>
      <x:c r="BC21" s="8" t="n">
        <x:f>IF(Q21="","",IF(Q21="Very poor",1,IF(Q21="Poor",2,IF(Q21="Average",3,IF(Q21="Effective",4,IF(Q21="Very effective",5,""))))))</x:f>
        <x:v>1</x:v>
      </x:c>
      <x:c r="BD21" s="8" t="n">
        <x:f>IF(S21="","",IF(S21="Never",1,IF(S21="Rarely",2,IF(S21="Sometimes",3,IF(S21="Often",4,IF(S21="Always",5,""))))))</x:f>
        <x:v>3</x:v>
      </x:c>
      <x:c r="BE21" s="8" t="n">
        <x:f>IF(U21="","",IF(U21="Very poor",1,IF(U21="Poor",2,IF(U21="Average",3,IF(U21="Good",4,IF(U21="Very good",5,""))))))</x:f>
        <x:v>4</x:v>
      </x:c>
      <x:c r="BF21" s="8" t="n">
        <x:f>IF(V21="","",IF(V21="Very poor",1,IF(V21="Poor",2,IF(V21="Average",3,IF(V21="Good",4,IF(V21="Very good",5,""))))))</x:f>
        <x:v>2</x:v>
      </x:c>
      <x:c r="BG21" s="8" t="n">
        <x:f>IF(AB21="","",IF(AB21="Never",1,IF(AB21="Rarely",2,IF(AB21="Sometimes",3,IF(AB21="Often",4,IF(AB21="Always",5,""))))))</x:f>
        <x:v>3</x:v>
      </x:c>
      <x:c r="BH21" s="8" t="n">
        <x:f>IF(AF21="","",IF(AF21="Very poor",1,IF(AF21="Poor",2,IF(AF21="Average",3,IF(AF21="Good",4,IF(AF21="Very good",5,""))))))</x:f>
        <x:v>3</x:v>
      </x:c>
      <x:c r="BI21" s="8" t="n">
        <x:f>IF(AK21="","",IF(AK21="Very poor",1,IF(AK21="Poor",2,IF(AK21="Average",3,IF(AK21="Good",4,IF(AK21="Very good",5,""))))))</x:f>
        <x:v>4</x:v>
      </x:c>
      <x:c r="BJ21" s="8" t="n">
        <x:f>IF(AT21="","",IF(AT21="Very poor",1,IF(AT21="Poor",2,IF(AT21="Average",3,IF(AT21="Good",4,IF(AT21="Very good",5,""))))))</x:f>
        <x:v>3</x:v>
      </x:c>
      <x:c r="BK21" s="8"/>
    </x:row>
    <x:row r="22">
      <x:c r="A22" t="str">
        <x:v>SIM-17</x:v>
      </x:c>
      <x:c r="B22" t="str">
        <x:v>Synthetic</x:v>
      </x:c>
      <x:c r="C22" s="9" t="str">
        <x:v>Staff</x:v>
      </x:c>
      <x:c r="D22" s="9" t="str">
        <x:v>Daily</x:v>
      </x:c>
      <x:c r="E22" s="9" t="str">
        <x:v>7–8 hours</x:v>
      </x:c>
      <x:c r="F22" s="9" t="str">
        <x:v>Office</x:v>
      </x:c>
      <x:c r="G22" s="9" t="str">
        <x:v>Average</x:v>
      </x:c>
      <x:c r="H22" s="9" t="str">
        <x:v>Yes—unpleasant odor near some washrooms.</x:v>
      </x:c>
      <x:c r="I22" s="9" t="str">
        <x:v>Average</x:v>
      </x:c>
      <x:c r="J22" s="9" t="str">
        <x:v>Average</x:v>
      </x:c>
      <x:c r="K22" s="9" t="str">
        <x:v>Yes</x:v>
      </x:c>
      <x:c r="L22" s="9" t="str">
        <x:v>No persistent excessive noise; construction can be audible.</x:v>
      </x:c>
      <x:c r="M22" s="9" t="str">
        <x:v>Sometimes dust near the lower level or adjacent construction.</x:v>
      </x:c>
      <x:c r="N22" s="9" t="str">
        <x:v>Open areas near the department and poorly ventilated washrooms.</x:v>
      </x:c>
      <x:c r="O22" s="9" t="str">
        <x:v>Yes</x:v>
      </x:c>
      <x:c r="P22" s="9" t="str">
        <x:v>No</x:v>
      </x:c>
      <x:c r="Q22" s="9" t="str">
        <x:v>Poor</x:v>
      </x:c>
      <x:c r="R22" s="9" t="str">
        <x:v>Paper, Plastic, Food waste</x:v>
      </x:c>
      <x:c r="S22" s="9" t="str">
        <x:v>Rarely</x:v>
      </x:c>
      <x:c r="T22" s="9" t="str">
        <x:v>Separate cafeteria food waste for composting and label the bins.</x:v>
      </x:c>
      <x:c r="U22" s="9" t="str">
        <x:v>Good</x:v>
      </x:c>
      <x:c r="V22" s="9" t="str">
        <x:v>Poor</x:v>
      </x:c>
      <x:c r="W22" s="9" t="str">
        <x:v>Sometimes—running taps in washrooms.</x:v>
      </x:c>
      <x:c r="X22" s="9" t="str">
        <x:v>No standing water noticed around the building.</x:v>
      </x:c>
      <x:c r="Y22" s="9" t="str">
        <x:v>Yes</x:v>
      </x:c>
      <x:c r="Z22" s="9" t="str">
        <x:v>Clogging and delayed cleaning in some washrooms.</x:v>
      </x:c>
      <x:c r="AA22" s="9" t="str">
        <x:v>Somewhat</x:v>
      </x:c>
      <x:c r="AB22" s="9" t="str">
        <x:v>Sometimes</x:v>
      </x:c>
      <x:c r="AC22" s="9" t="str">
        <x:v>LED lighting is noticeable; no occupancy sensors noticed. Windows exist but ventilation varies.</x:v>
      </x:c>
      <x:c r="AD22" s="9" t="str">
        <x:v>Put switch-off reminders at classroom exits and use a closing checklist.</x:v>
      </x:c>
      <x:c r="AE22" s="9" t="str">
        <x:v>Yes for most work, though double-sided printing could improve use.</x:v>
      </x:c>
      <x:c r="AF22" s="9" t="str">
        <x:v>Good</x:v>
      </x:c>
      <x:c r="AG22" s="9" t="str">
        <x:v>Yes</x:v>
      </x:c>
      <x:c r="AH22" s="9" t="str">
        <x:v>No</x:v>
      </x:c>
      <x:c r="AI22" s="9" t="str">
        <x:v>No</x:v>
      </x:c>
      <x:c r="AJ22" s="9" t="str">
        <x:v>Add planters near corridors and increase shade in outdoor seating.</x:v>
      </x:c>
      <x:c r="AK22" s="9" t="str">
        <x:v>Good</x:v>
      </x:c>
      <x:c r="AL22" s="9" t="str">
        <x:v>No</x:v>
      </x:c>
      <x:c r="AM22" s="9" t="str">
        <x:v>Yes</x:v>
      </x:c>
      <x:c r="AN22" s="9" t="str">
        <x:v>Somewhat</x:v>
      </x:c>
      <x:c r="AO22" s="9" t="str">
        <x:v>Minor noise near parking at busy times.</x:v>
      </x:c>
      <x:c r="AP22" s="9" t="str">
        <x:v>Occasional construction noise affects comfort.</x:v>
      </x:c>
      <x:c r="AQ22" s="9" t="str">
        <x:v>Somewhat</x:v>
      </x:c>
      <x:c r="AR22" s="9" t="str">
        <x:v>No</x:v>
      </x:c>
      <x:c r="AS22" s="9" t="str">
        <x:v>Observed a leaking tap; no emergency incident.</x:v>
      </x:c>
      <x:c r="AT22" s="9" t="str">
        <x:v>Poor</x:v>
      </x:c>
      <x:c r="AU22" s="9" t="str">
        <x:v>Washroom ventilation; unclear fire evacuation information; waste mixing.</x:v>
      </x:c>
      <x:c r="AV22" s="9" t="str">
        <x:v>Fire route signs and practical training, because users need clear instructions.</x:v>
      </x:c>
      <x:c r="AW22" s="9" t="str">
        <x:v>Introduce room shutdown checks, separate waste, and maintain washrooms.</x:v>
      </x:c>
      <x:c r="AX22" s="9" t="str">
        <x:v>Yes</x:v>
      </x:c>
      <x:c r="AY22" s="9" t="str">
        <x:v>Consider an exhaust fan for the male prayer room and a shoe rack outside.</x:v>
      </x:c>
      <x:c r="AZ22" s="8" t="n">
        <x:f>IF(G22="","",IF(G22="Very poor",1,IF(G22="Poor",2,IF(G22="Average",3,IF(G22="Good",4,IF(G22="Very good",5,""))))))</x:f>
        <x:v>3</x:v>
      </x:c>
      <x:c r="BA22" s="8" t="n">
        <x:f>IF(I22="","",IF(I22="Very poor",1,IF(I22="Poor",2,IF(I22="Average",3,IF(I22="Good",4,IF(I22="Very good",5,""))))))</x:f>
        <x:v>3</x:v>
      </x:c>
      <x:c r="BB22" s="8" t="n">
        <x:f>IF(J22="","",IF(J22="Very poor",1,IF(J22="Poor",2,IF(J22="Average",3,IF(J22="Good",4,IF(J22="Very good",5,""))))))</x:f>
        <x:v>3</x:v>
      </x:c>
      <x:c r="BC22" s="8" t="n">
        <x:f>IF(Q22="","",IF(Q22="Very poor",1,IF(Q22="Poor",2,IF(Q22="Average",3,IF(Q22="Effective",4,IF(Q22="Very effective",5,""))))))</x:f>
        <x:v>2</x:v>
      </x:c>
      <x:c r="BD22" s="8" t="n">
        <x:f>IF(S22="","",IF(S22="Never",1,IF(S22="Rarely",2,IF(S22="Sometimes",3,IF(S22="Often",4,IF(S22="Always",5,""))))))</x:f>
        <x:v>2</x:v>
      </x:c>
      <x:c r="BE22" s="8" t="n">
        <x:f>IF(U22="","",IF(U22="Very poor",1,IF(U22="Poor",2,IF(U22="Average",3,IF(U22="Good",4,IF(U22="Very good",5,""))))))</x:f>
        <x:v>4</x:v>
      </x:c>
      <x:c r="BF22" s="8" t="n">
        <x:f>IF(V22="","",IF(V22="Very poor",1,IF(V22="Poor",2,IF(V22="Average",3,IF(V22="Good",4,IF(V22="Very good",5,""))))))</x:f>
        <x:v>2</x:v>
      </x:c>
      <x:c r="BG22" s="8" t="n">
        <x:f>IF(AB22="","",IF(AB22="Never",1,IF(AB22="Rarely",2,IF(AB22="Sometimes",3,IF(AB22="Often",4,IF(AB22="Always",5,""))))))</x:f>
        <x:v>3</x:v>
      </x:c>
      <x:c r="BH22" s="8" t="n">
        <x:f>IF(AF22="","",IF(AF22="Very poor",1,IF(AF22="Poor",2,IF(AF22="Average",3,IF(AF22="Good",4,IF(AF22="Very good",5,""))))))</x:f>
        <x:v>4</x:v>
      </x:c>
      <x:c r="BI22" s="8" t="n">
        <x:f>IF(AK22="","",IF(AK22="Very poor",1,IF(AK22="Poor",2,IF(AK22="Average",3,IF(AK22="Good",4,IF(AK22="Very good",5,""))))))</x:f>
        <x:v>4</x:v>
      </x:c>
      <x:c r="BJ22" s="8" t="n">
        <x:f>IF(AT22="","",IF(AT22="Very poor",1,IF(AT22="Poor",2,IF(AT22="Average",3,IF(AT22="Good",4,IF(AT22="Very good",5,""))))))</x:f>
        <x:v>2</x:v>
      </x:c>
      <x:c r="BK22" s="8"/>
    </x:row>
    <x:row r="23">
      <x:c r="A23" t="str">
        <x:v>SIM-18</x:v>
      </x:c>
      <x:c r="B23" t="str">
        <x:v>Synthetic</x:v>
      </x:c>
      <x:c r="C23" s="9" t="str">
        <x:v>Staff</x:v>
      </x:c>
      <x:c r="D23" s="9" t="str">
        <x:v>Daily</x:v>
      </x:c>
      <x:c r="E23" s="9" t="str">
        <x:v>4–6 hours</x:v>
      </x:c>
      <x:c r="F23" s="9" t="str">
        <x:v>Office</x:v>
      </x:c>
      <x:c r="G23" s="9" t="str">
        <x:v>Poor</x:v>
      </x:c>
      <x:c r="H23" s="9" t="str">
        <x:v>Yes—stuffiness in washrooms and nearby corridors.</x:v>
      </x:c>
      <x:c r="I23" s="9" t="str">
        <x:v>Poor</x:v>
      </x:c>
      <x:c r="J23" s="9" t="str">
        <x:v>Poor</x:v>
      </x:c>
      <x:c r="K23" s="9" t="str">
        <x:v>Somewhat</x:v>
      </x:c>
      <x:c r="L23" s="9" t="str">
        <x:v>Construction noise is noticeable at times.</x:v>
      </x:c>
      <x:c r="M23" s="9" t="str">
        <x:v>No obvious indoor pollution observed.</x:v>
      </x:c>
      <x:c r="N23" s="9" t="str">
        <x:v>Ground-floor corridor and washroom areas.</x:v>
      </x:c>
      <x:c r="O23" s="9" t="str">
        <x:v>Yes</x:v>
      </x:c>
      <x:c r="P23" s="9" t="str">
        <x:v>No</x:v>
      </x:c>
      <x:c r="Q23" s="9" t="str">
        <x:v>Very poor</x:v>
      </x:c>
      <x:c r="R23" s="9" t="str">
        <x:v>Paper, Plastic, Food waste</x:v>
      </x:c>
      <x:c r="S23" s="9" t="str">
        <x:v>Never</x:v>
      </x:c>
      <x:c r="T23" s="9" t="str">
        <x:v>Add clear sorting signs and brief user awareness messages.</x:v>
      </x:c>
      <x:c r="U23" s="9" t="str">
        <x:v>Very good</x:v>
      </x:c>
      <x:c r="V23" s="9" t="str">
        <x:v>Very poor</x:v>
      </x:c>
      <x:c r="W23" s="9" t="str">
        <x:v>Yes—occasional water wastage near washbasins.</x:v>
      </x:c>
      <x:c r="X23" s="9" t="str">
        <x:v>No standing water noticed around the building.</x:v>
      </x:c>
      <x:c r="Y23" s="9" t="str">
        <x:v>Somewhat</x:v>
      </x:c>
      <x:c r="Z23" s="9" t="str">
        <x:v>Leaking taps and occasional flush problems.</x:v>
      </x:c>
      <x:c r="AA23" s="9" t="str">
        <x:v>No</x:v>
      </x:c>
      <x:c r="AB23" s="9" t="str">
        <x:v>Often</x:v>
      </x:c>
      <x:c r="AC23" s="9" t="str">
        <x:v>LED lighting is noticeable; no occupancy sensors noticed. Windows exist but ventilation varies.</x:v>
      </x:c>
      <x:c r="AD23" s="9" t="str">
        <x:v>Service AC units and switch off lights and fans after use.</x:v>
      </x:c>
      <x:c r="AE23" s="9" t="str">
        <x:v>Somewhat—digital files and duplex printing may reduce paper use.</x:v>
      </x:c>
      <x:c r="AF23" s="9" t="str">
        <x:v>Good</x:v>
      </x:c>
      <x:c r="AG23" s="9" t="str">
        <x:v>Somewhat</x:v>
      </x:c>
      <x:c r="AH23" s="9" t="str">
        <x:v>Rarely</x:v>
      </x:c>
      <x:c r="AI23" s="9" t="str">
        <x:v>Somewhat</x:v>
      </x:c>
      <x:c r="AJ23" s="9" t="str">
        <x:v>Care for existing trees and introduce low-maintenance floor planters.</x:v>
      </x:c>
      <x:c r="AK23" s="9" t="str">
        <x:v>Average</x:v>
      </x:c>
      <x:c r="AL23" s="9" t="str">
        <x:v>Somewhat</x:v>
      </x:c>
      <x:c r="AM23" s="9" t="str">
        <x:v>Somewhat</x:v>
      </x:c>
      <x:c r="AN23" s="9" t="str">
        <x:v>Yes</x:v>
      </x:c>
      <x:c r="AO23" s="9" t="str">
        <x:v>No major transport-related problem noticed.</x:v>
      </x:c>
      <x:c r="AP23" s="9" t="str">
        <x:v>Washroom odor can reduce comfort; no other major issue noticed.</x:v>
      </x:c>
      <x:c r="AQ23" s="9" t="str">
        <x:v>No</x:v>
      </x:c>
      <x:c r="AR23" s="9" t="str">
        <x:v>Somewhat</x:v>
      </x:c>
      <x:c r="AS23" s="9" t="str">
        <x:v>Occasional AC condensate leakage; no major incident.</x:v>
      </x:c>
      <x:c r="AT23" s="9" t="str">
        <x:v>Average</x:v>
      </x:c>
      <x:c r="AU23" s="9" t="str">
        <x:v>Water leakage; stuffy corridors; insufficient waste sorting.</x:v>
      </x:c>
      <x:c r="AV23" s="9" t="str">
        <x:v>Repair water leakage to reduce wastage and improve sanitation.</x:v>
      </x:c>
      <x:c r="AW23" s="9" t="str">
        <x:v>Post evacuation maps, improve washroom cleaning, and add indoor plants.</x:v>
      </x:c>
      <x:c r="AX23" s="9" t="str">
        <x:v>Maybe</x:v>
      </x:c>
      <x:c r="AY23" s="9" t="str">
        <x:v>Check AC water leakage and keep nearby floors dry.</x:v>
      </x:c>
      <x:c r="AZ23" s="8" t="n">
        <x:f>IF(G23="","",IF(G23="Very poor",1,IF(G23="Poor",2,IF(G23="Average",3,IF(G23="Good",4,IF(G23="Very good",5,""))))))</x:f>
        <x:v>2</x:v>
      </x:c>
      <x:c r="BA23" s="8" t="n">
        <x:f>IF(I23="","",IF(I23="Very poor",1,IF(I23="Poor",2,IF(I23="Average",3,IF(I23="Good",4,IF(I23="Very good",5,""))))))</x:f>
        <x:v>2</x:v>
      </x:c>
      <x:c r="BB23" s="8" t="n">
        <x:f>IF(J23="","",IF(J23="Very poor",1,IF(J23="Poor",2,IF(J23="Average",3,IF(J23="Good",4,IF(J23="Very good",5,""))))))</x:f>
        <x:v>2</x:v>
      </x:c>
      <x:c r="BC23" s="8" t="n">
        <x:f>IF(Q23="","",IF(Q23="Very poor",1,IF(Q23="Poor",2,IF(Q23="Average",3,IF(Q23="Effective",4,IF(Q23="Very effective",5,""))))))</x:f>
        <x:v>1</x:v>
      </x:c>
      <x:c r="BD23" s="8" t="n">
        <x:f>IF(S23="","",IF(S23="Never",1,IF(S23="Rarely",2,IF(S23="Sometimes",3,IF(S23="Often",4,IF(S23="Always",5,""))))))</x:f>
        <x:v>1</x:v>
      </x:c>
      <x:c r="BE23" s="8" t="n">
        <x:f>IF(U23="","",IF(U23="Very poor",1,IF(U23="Poor",2,IF(U23="Average",3,IF(U23="Good",4,IF(U23="Very good",5,""))))))</x:f>
        <x:v>5</x:v>
      </x:c>
      <x:c r="BF23" s="8" t="n">
        <x:f>IF(V23="","",IF(V23="Very poor",1,IF(V23="Poor",2,IF(V23="Average",3,IF(V23="Good",4,IF(V23="Very good",5,""))))))</x:f>
        <x:v>1</x:v>
      </x:c>
      <x:c r="BG23" s="8" t="n">
        <x:f>IF(AB23="","",IF(AB23="Never",1,IF(AB23="Rarely",2,IF(AB23="Sometimes",3,IF(AB23="Often",4,IF(AB23="Always",5,""))))))</x:f>
        <x:v>4</x:v>
      </x:c>
      <x:c r="BH23" s="8" t="n">
        <x:f>IF(AF23="","",IF(AF23="Very poor",1,IF(AF23="Poor",2,IF(AF23="Average",3,IF(AF23="Good",4,IF(AF23="Very good",5,""))))))</x:f>
        <x:v>4</x:v>
      </x:c>
      <x:c r="BI23" s="8" t="n">
        <x:f>IF(AK23="","",IF(AK23="Very poor",1,IF(AK23="Poor",2,IF(AK23="Average",3,IF(AK23="Good",4,IF(AK23="Very good",5,""))))))</x:f>
        <x:v>3</x:v>
      </x:c>
      <x:c r="BJ23" s="8" t="n">
        <x:f>IF(AT23="","",IF(AT23="Very poor",1,IF(AT23="Poor",2,IF(AT23="Average",3,IF(AT23="Good",4,IF(AT23="Very good",5,""))))))</x:f>
        <x:v>3</x:v>
      </x:c>
      <x:c r="BK23" s="8"/>
    </x:row>
    <x:row r="24">
      <x:c r="A24" t="str">
        <x:v>SIM-19</x:v>
      </x:c>
      <x:c r="B24" t="str">
        <x:v>Synthetic</x:v>
      </x:c>
      <x:c r="C24" s="9" t="str">
        <x:v>Staff</x:v>
      </x:c>
      <x:c r="D24" s="9" t="str">
        <x:v>Daily</x:v>
      </x:c>
      <x:c r="E24" s="9" t="str">
        <x:v>4–6 hours</x:v>
      </x:c>
      <x:c r="F24" s="9" t="str">
        <x:v>Office</x:v>
      </x:c>
      <x:c r="G24" s="9" t="str">
        <x:v>Poor</x:v>
      </x:c>
      <x:c r="H24" s="9" t="str">
        <x:v>Yes—unpleasant odor near some washrooms.</x:v>
      </x:c>
      <x:c r="I24" s="9" t="str">
        <x:v>Poor</x:v>
      </x:c>
      <x:c r="J24" s="9" t="str">
        <x:v>Poor</x:v>
      </x:c>
      <x:c r="K24" s="9" t="str">
        <x:v>Yes</x:v>
      </x:c>
      <x:c r="L24" s="9" t="str">
        <x:v>Occasional noise from nearby construction.</x:v>
      </x:c>
      <x:c r="M24" s="9" t="str">
        <x:v>No persistent indoor smoke observed; occasional dust near ground-floor parking.</x:v>
      </x:c>
      <x:c r="N24" s="9" t="str">
        <x:v>Department corridors and washrooms.</x:v>
      </x:c>
      <x:c r="O24" s="9" t="str">
        <x:v>Yes</x:v>
      </x:c>
      <x:c r="P24" s="9" t="str">
        <x:v>No</x:v>
      </x:c>
      <x:c r="Q24" s="9" t="str">
        <x:v>Poor</x:v>
      </x:c>
      <x:c r="R24" s="9" t="str">
        <x:v>Paper, Plastic, Food waste</x:v>
      </x:c>
      <x:c r="S24" s="9" t="str">
        <x:v>Rarely</x:v>
      </x:c>
      <x:c r="T24" s="9" t="str">
        <x:v>Introduce labeled paper, plastic, and food-waste bins.</x:v>
      </x:c>
      <x:c r="U24" s="9" t="str">
        <x:v>Good</x:v>
      </x:c>
      <x:c r="V24" s="9" t="str">
        <x:v>Poor</x:v>
      </x:c>
      <x:c r="W24" s="9" t="str">
        <x:v>Yes—leaking taps or flushes in washrooms.</x:v>
      </x:c>
      <x:c r="X24" s="9" t="str">
        <x:v>No standing water noticed around the building.</x:v>
      </x:c>
      <x:c r="Y24" s="9" t="str">
        <x:v>Yes</x:v>
      </x:c>
      <x:c r="Z24" s="9" t="str">
        <x:v>Occasional blocked flush and washroom odor.</x:v>
      </x:c>
      <x:c r="AA24" s="9" t="str">
        <x:v>Somewhat</x:v>
      </x:c>
      <x:c r="AB24" s="9" t="str">
        <x:v>Sometimes</x:v>
      </x:c>
      <x:c r="AC24" s="9" t="str">
        <x:v>LED lighting is noticeable; no occupancy sensors noticed. Windows exist but ventilation varies.</x:v>
      </x:c>
      <x:c r="AD24" s="9" t="str">
        <x:v>Install occupancy sensors in suitable rooms and set an AC shutdown routine.</x:v>
      </x:c>
      <x:c r="AE24" s="9" t="str">
        <x:v>Somewhat—digital files and duplex printing may reduce paper use.</x:v>
      </x:c>
      <x:c r="AF24" s="9" t="str">
        <x:v>Good</x:v>
      </x:c>
      <x:c r="AG24" s="9" t="str">
        <x:v>Somewhat</x:v>
      </x:c>
      <x:c r="AH24" s="9" t="str">
        <x:v>Rarely</x:v>
      </x:c>
      <x:c r="AI24" s="9" t="str">
        <x:v>Somewhat</x:v>
      </x:c>
      <x:c r="AJ24" s="9" t="str">
        <x:v>Maintain existing greenery and add suitable indoor plants on each floor.</x:v>
      </x:c>
      <x:c r="AK24" s="9" t="str">
        <x:v>Good</x:v>
      </x:c>
      <x:c r="AL24" s="9" t="str">
        <x:v>No</x:v>
      </x:c>
      <x:c r="AM24" s="9" t="str">
        <x:v>Yes</x:v>
      </x:c>
      <x:c r="AN24" s="9" t="str">
        <x:v>Yes</x:v>
      </x:c>
      <x:c r="AO24" s="9" t="str">
        <x:v>Occasional vehicle noise; no major persistent issue noticed.</x:v>
      </x:c>
      <x:c r="AP24" s="9" t="str">
        <x:v>Poor washroom conditions and stuffy corridors may affect comfort.</x:v>
      </x:c>
      <x:c r="AQ24" s="9" t="str">
        <x:v>No</x:v>
      </x:c>
      <x:c r="AR24" s="9" t="str">
        <x:v>Somewhat</x:v>
      </x:c>
      <x:c r="AS24" s="9" t="str">
        <x:v>No specific incident observed.</x:v>
      </x:c>
      <x:c r="AT24" s="9" t="str">
        <x:v>Average</x:v>
      </x:c>
      <x:c r="AU24" s="9" t="str">
        <x:v>Washroom hygiene; weak waste segregation; inefficient electricity use.</x:v>
      </x:c>
      <x:c r="AV24" s="9" t="str">
        <x:v>Washroom hygiene, because it affects daily comfort and water use.</x:v>
      </x:c>
      <x:c r="AW24" s="9" t="str">
        <x:v>Repair taps and flushes; add labeled bins; train occupants on fire safety.</x:v>
      </x:c>
      <x:c r="AX24" s="9" t="str">
        <x:v>Yes</x:v>
      </x:c>
      <x:c r="AY24" s="9" t="str">
        <x:v>A shoe rack by the male prayer room could keep the corridor clear.</x:v>
      </x:c>
      <x:c r="AZ24" s="8" t="n">
        <x:f>IF(G24="","",IF(G24="Very poor",1,IF(G24="Poor",2,IF(G24="Average",3,IF(G24="Good",4,IF(G24="Very good",5,""))))))</x:f>
        <x:v>2</x:v>
      </x:c>
      <x:c r="BA24" s="8" t="n">
        <x:f>IF(I24="","",IF(I24="Very poor",1,IF(I24="Poor",2,IF(I24="Average",3,IF(I24="Good",4,IF(I24="Very good",5,""))))))</x:f>
        <x:v>2</x:v>
      </x:c>
      <x:c r="BB24" s="8" t="n">
        <x:f>IF(J24="","",IF(J24="Very poor",1,IF(J24="Poor",2,IF(J24="Average",3,IF(J24="Good",4,IF(J24="Very good",5,""))))))</x:f>
        <x:v>2</x:v>
      </x:c>
      <x:c r="BC24" s="8" t="n">
        <x:f>IF(Q24="","",IF(Q24="Very poor",1,IF(Q24="Poor",2,IF(Q24="Average",3,IF(Q24="Effective",4,IF(Q24="Very effective",5,""))))))</x:f>
        <x:v>2</x:v>
      </x:c>
      <x:c r="BD24" s="8" t="n">
        <x:f>IF(S24="","",IF(S24="Never",1,IF(S24="Rarely",2,IF(S24="Sometimes",3,IF(S24="Often",4,IF(S24="Always",5,""))))))</x:f>
        <x:v>2</x:v>
      </x:c>
      <x:c r="BE24" s="8" t="n">
        <x:f>IF(U24="","",IF(U24="Very poor",1,IF(U24="Poor",2,IF(U24="Average",3,IF(U24="Good",4,IF(U24="Very good",5,""))))))</x:f>
        <x:v>4</x:v>
      </x:c>
      <x:c r="BF24" s="8" t="n">
        <x:f>IF(V24="","",IF(V24="Very poor",1,IF(V24="Poor",2,IF(V24="Average",3,IF(V24="Good",4,IF(V24="Very good",5,""))))))</x:f>
        <x:v>2</x:v>
      </x:c>
      <x:c r="BG24" s="8" t="n">
        <x:f>IF(AB24="","",IF(AB24="Never",1,IF(AB24="Rarely",2,IF(AB24="Sometimes",3,IF(AB24="Often",4,IF(AB24="Always",5,""))))))</x:f>
        <x:v>3</x:v>
      </x:c>
      <x:c r="BH24" s="8" t="n">
        <x:f>IF(AF24="","",IF(AF24="Very poor",1,IF(AF24="Poor",2,IF(AF24="Average",3,IF(AF24="Good",4,IF(AF24="Very good",5,""))))))</x:f>
        <x:v>4</x:v>
      </x:c>
      <x:c r="BI24" s="8" t="n">
        <x:f>IF(AK24="","",IF(AK24="Very poor",1,IF(AK24="Poor",2,IF(AK24="Average",3,IF(AK24="Good",4,IF(AK24="Very good",5,""))))))</x:f>
        <x:v>4</x:v>
      </x:c>
      <x:c r="BJ24" s="8" t="n">
        <x:f>IF(AT24="","",IF(AT24="Very poor",1,IF(AT24="Poor",2,IF(AT24="Average",3,IF(AT24="Good",4,IF(AT24="Very good",5,""))))))</x:f>
        <x:v>3</x:v>
      </x:c>
      <x:c r="BK24" s="8"/>
    </x:row>
    <x:row r="25">
      <x:c r="A25" t="str">
        <x:v>SIM-20</x:v>
      </x:c>
      <x:c r="B25" t="str">
        <x:v>Synthetic</x:v>
      </x:c>
      <x:c r="C25" s="9" t="str">
        <x:v>Staff</x:v>
      </x:c>
      <x:c r="D25" s="9" t="str">
        <x:v>Daily</x:v>
      </x:c>
      <x:c r="E25" s="9" t="str">
        <x:v>4–6 hours</x:v>
      </x:c>
      <x:c r="F25" s="9" t="str">
        <x:v>Office</x:v>
      </x:c>
      <x:c r="G25" s="9" t="str">
        <x:v>Average</x:v>
      </x:c>
      <x:c r="H25" s="9" t="str">
        <x:v>Yes—stuffiness in washrooms and nearby corridors.</x:v>
      </x:c>
      <x:c r="I25" s="9" t="str">
        <x:v>Average</x:v>
      </x:c>
      <x:c r="J25" s="9" t="str">
        <x:v>Average</x:v>
      </x:c>
      <x:c r="K25" s="9" t="str">
        <x:v>Somewhat</x:v>
      </x:c>
      <x:c r="L25" s="9" t="str">
        <x:v>No persistent excessive noise; construction can be audible.</x:v>
      </x:c>
      <x:c r="M25" s="9" t="str">
        <x:v>Sometimes dust near the lower level or adjacent construction.</x:v>
      </x:c>
      <x:c r="N25" s="9" t="str">
        <x:v>Open areas near the department and poorly ventilated washrooms.</x:v>
      </x:c>
      <x:c r="O25" s="9" t="str">
        <x:v>Yes</x:v>
      </x:c>
      <x:c r="P25" s="9" t="str">
        <x:v>No</x:v>
      </x:c>
      <x:c r="Q25" s="9" t="str">
        <x:v>Very poor</x:v>
      </x:c>
      <x:c r="R25" s="9" t="str">
        <x:v>Paper, Plastic, Food waste</x:v>
      </x:c>
      <x:c r="S25" s="9" t="str">
        <x:v>Never</x:v>
      </x:c>
      <x:c r="T25" s="9" t="str">
        <x:v>Separate cafeteria food waste for composting and label the bins.</x:v>
      </x:c>
      <x:c r="U25" s="9" t="str">
        <x:v>Very good</x:v>
      </x:c>
      <x:c r="V25" s="9" t="str">
        <x:v>Very poor</x:v>
      </x:c>
      <x:c r="W25" s="9" t="str">
        <x:v>Sometimes—running taps in washrooms.</x:v>
      </x:c>
      <x:c r="X25" s="9" t="str">
        <x:v>No standing water noticed around the building.</x:v>
      </x:c>
      <x:c r="Y25" s="9" t="str">
        <x:v>Yes</x:v>
      </x:c>
      <x:c r="Z25" s="9" t="str">
        <x:v>Clogging and delayed cleaning in some washrooms.</x:v>
      </x:c>
      <x:c r="AA25" s="9" t="str">
        <x:v>No</x:v>
      </x:c>
      <x:c r="AB25" s="9" t="str">
        <x:v>Often</x:v>
      </x:c>
      <x:c r="AC25" s="9" t="str">
        <x:v>LED lighting is noticeable; no occupancy sensors noticed. Windows exist but ventilation varies.</x:v>
      </x:c>
      <x:c r="AD25" s="9" t="str">
        <x:v>Put switch-off reminders at classroom exits and use a closing checklist.</x:v>
      </x:c>
      <x:c r="AE25" s="9" t="str">
        <x:v>Somewhat—digital files and duplex printing may reduce paper use.</x:v>
      </x:c>
      <x:c r="AF25" s="9" t="str">
        <x:v>Good</x:v>
      </x:c>
      <x:c r="AG25" s="9" t="str">
        <x:v>Yes</x:v>
      </x:c>
      <x:c r="AH25" s="9" t="str">
        <x:v>No</x:v>
      </x:c>
      <x:c r="AI25" s="9" t="str">
        <x:v>No</x:v>
      </x:c>
      <x:c r="AJ25" s="9" t="str">
        <x:v>Add planters near corridors and increase shade in outdoor seating.</x:v>
      </x:c>
      <x:c r="AK25" s="9" t="str">
        <x:v>Good</x:v>
      </x:c>
      <x:c r="AL25" s="9" t="str">
        <x:v>No</x:v>
      </x:c>
      <x:c r="AM25" s="9" t="str">
        <x:v>Yes</x:v>
      </x:c>
      <x:c r="AN25" s="9" t="str">
        <x:v>Somewhat</x:v>
      </x:c>
      <x:c r="AO25" s="9" t="str">
        <x:v>Minor noise near parking at busy times.</x:v>
      </x:c>
      <x:c r="AP25" s="9" t="str">
        <x:v>Occasional construction noise affects comfort.</x:v>
      </x:c>
      <x:c r="AQ25" s="9" t="str">
        <x:v>Somewhat</x:v>
      </x:c>
      <x:c r="AR25" s="9" t="str">
        <x:v>No</x:v>
      </x:c>
      <x:c r="AS25" s="9" t="str">
        <x:v>Observed a leaking tap; no emergency incident.</x:v>
      </x:c>
      <x:c r="AT25" s="9" t="str">
        <x:v>Poor</x:v>
      </x:c>
      <x:c r="AU25" s="9" t="str">
        <x:v>Washroom ventilation; unclear fire evacuation information; waste mixing.</x:v>
      </x:c>
      <x:c r="AV25" s="9" t="str">
        <x:v>Fire route signs and practical training, because users need clear instructions.</x:v>
      </x:c>
      <x:c r="AW25" s="9" t="str">
        <x:v>Introduce room shutdown checks, separate waste, and maintain washrooms.</x:v>
      </x:c>
      <x:c r="AX25" s="9" t="str">
        <x:v>Yes</x:v>
      </x:c>
      <x:c r="AY25" s="9" t="str">
        <x:v>Consider an exhaust fan for the male prayer room and a shoe rack outside.</x:v>
      </x:c>
      <x:c r="AZ25" s="8" t="n">
        <x:f>IF(G25="","",IF(G25="Very poor",1,IF(G25="Poor",2,IF(G25="Average",3,IF(G25="Good",4,IF(G25="Very good",5,""))))))</x:f>
        <x:v>3</x:v>
      </x:c>
      <x:c r="BA25" s="8" t="n">
        <x:f>IF(I25="","",IF(I25="Very poor",1,IF(I25="Poor",2,IF(I25="Average",3,IF(I25="Good",4,IF(I25="Very good",5,""))))))</x:f>
        <x:v>3</x:v>
      </x:c>
      <x:c r="BB25" s="8" t="n">
        <x:f>IF(J25="","",IF(J25="Very poor",1,IF(J25="Poor",2,IF(J25="Average",3,IF(J25="Good",4,IF(J25="Very good",5,""))))))</x:f>
        <x:v>3</x:v>
      </x:c>
      <x:c r="BC25" s="8" t="n">
        <x:f>IF(Q25="","",IF(Q25="Very poor",1,IF(Q25="Poor",2,IF(Q25="Average",3,IF(Q25="Effective",4,IF(Q25="Very effective",5,""))))))</x:f>
        <x:v>1</x:v>
      </x:c>
      <x:c r="BD25" s="8" t="n">
        <x:f>IF(S25="","",IF(S25="Never",1,IF(S25="Rarely",2,IF(S25="Sometimes",3,IF(S25="Often",4,IF(S25="Always",5,""))))))</x:f>
        <x:v>1</x:v>
      </x:c>
      <x:c r="BE25" s="8" t="n">
        <x:f>IF(U25="","",IF(U25="Very poor",1,IF(U25="Poor",2,IF(U25="Average",3,IF(U25="Good",4,IF(U25="Very good",5,""))))))</x:f>
        <x:v>5</x:v>
      </x:c>
      <x:c r="BF25" s="8" t="n">
        <x:f>IF(V25="","",IF(V25="Very poor",1,IF(V25="Poor",2,IF(V25="Average",3,IF(V25="Good",4,IF(V25="Very good",5,""))))))</x:f>
        <x:v>1</x:v>
      </x:c>
      <x:c r="BG25" s="8" t="n">
        <x:f>IF(AB25="","",IF(AB25="Never",1,IF(AB25="Rarely",2,IF(AB25="Sometimes",3,IF(AB25="Often",4,IF(AB25="Always",5,""))))))</x:f>
        <x:v>4</x:v>
      </x:c>
      <x:c r="BH25" s="8" t="n">
        <x:f>IF(AF25="","",IF(AF25="Very poor",1,IF(AF25="Poor",2,IF(AF25="Average",3,IF(AF25="Good",4,IF(AF25="Very good",5,""))))))</x:f>
        <x:v>4</x:v>
      </x:c>
      <x:c r="BI25" s="8" t="n">
        <x:f>IF(AK25="","",IF(AK25="Very poor",1,IF(AK25="Poor",2,IF(AK25="Average",3,IF(AK25="Good",4,IF(AK25="Very good",5,""))))))</x:f>
        <x:v>4</x:v>
      </x:c>
      <x:c r="BJ25" s="8" t="n">
        <x:f>IF(AT25="","",IF(AT25="Very poor",1,IF(AT25="Poor",2,IF(AT25="Average",3,IF(AT25="Good",4,IF(AT25="Very good",5,""))))))</x:f>
        <x:v>2</x:v>
      </x:c>
      <x:c r="BK25" s="8"/>
    </x:row>
    <x:row r="26">
      <x:c r="A26" t="str">
        <x:v>SIM-21</x:v>
      </x:c>
      <x:c r="B26" t="str">
        <x:v>Synthetic</x:v>
      </x:c>
      <x:c r="C26" s="9" t="str">
        <x:v>Maintenance</x:v>
      </x:c>
      <x:c r="D26" s="9" t="str">
        <x:v>Daily</x:v>
      </x:c>
      <x:c r="E26" s="9" t="str">
        <x:v>7–8 hours</x:v>
      </x:c>
      <x:c r="F26" s="9" t="str">
        <x:v>Corridor</x:v>
      </x:c>
      <x:c r="G26" s="9" t="str">
        <x:v>Poor</x:v>
      </x:c>
      <x:c r="H26" s="9" t="str">
        <x:v>Sometimes; washrooms are the main concern.</x:v>
      </x:c>
      <x:c r="I26" s="9" t="str">
        <x:v>Very poor</x:v>
      </x:c>
      <x:c r="J26" s="9" t="str">
        <x:v>Poor</x:v>
      </x:c>
      <x:c r="K26" s="9" t="str">
        <x:v>Yes</x:v>
      </x:c>
      <x:c r="L26" s="9" t="str">
        <x:v>Construction noise is noticeable at times.</x:v>
      </x:c>
      <x:c r="M26" s="9" t="str">
        <x:v>No obvious indoor pollution observed.</x:v>
      </x:c>
      <x:c r="N26" s="9" t="str">
        <x:v>Ground-floor corridor and washroom areas.</x:v>
      </x:c>
      <x:c r="O26" s="9" t="str">
        <x:v>Yes</x:v>
      </x:c>
      <x:c r="P26" s="9" t="str">
        <x:v>No</x:v>
      </x:c>
      <x:c r="Q26" s="9" t="str">
        <x:v>Poor</x:v>
      </x:c>
      <x:c r="R26" s="9" t="str">
        <x:v>Paper, Plastic, Food waste</x:v>
      </x:c>
      <x:c r="S26" s="9" t="str">
        <x:v>Rarely</x:v>
      </x:c>
      <x:c r="T26" s="9" t="str">
        <x:v>Add clear sorting signs and brief user awareness messages.</x:v>
      </x:c>
      <x:c r="U26" s="9" t="str">
        <x:v>Good</x:v>
      </x:c>
      <x:c r="V26" s="9" t="str">
        <x:v>Average</x:v>
      </x:c>
      <x:c r="W26" s="9" t="str">
        <x:v>Yes—some taps and flush fittings need repair.</x:v>
      </x:c>
      <x:c r="X26" s="9" t="str">
        <x:v>No standing water noticed around the building.</x:v>
      </x:c>
      <x:c r="Y26" s="9" t="str">
        <x:v>Somewhat</x:v>
      </x:c>
      <x:c r="Z26" s="9" t="str">
        <x:v>Leaking taps and occasional flush problems.</x:v>
      </x:c>
      <x:c r="AA26" s="9" t="str">
        <x:v>Somewhat</x:v>
      </x:c>
      <x:c r="AB26" s="9" t="str">
        <x:v>Sometimes</x:v>
      </x:c>
      <x:c r="AC26" s="9" t="str">
        <x:v>LED lighting is noticeable; no occupancy sensors noticed. Windows exist but ventilation varies.</x:v>
      </x:c>
      <x:c r="AD26" s="9" t="str">
        <x:v>Use a documented end-of-day inspection for ACs, lights and fans.</x:v>
      </x:c>
      <x:c r="AE26" s="9" t="str">
        <x:v>Somewhat—reuse one-sided paper for internal drafts.</x:v>
      </x:c>
      <x:c r="AF26" s="9" t="str">
        <x:v>Very good</x:v>
      </x:c>
      <x:c r="AG26" s="9" t="str">
        <x:v>Somewhat</x:v>
      </x:c>
      <x:c r="AH26" s="9" t="str">
        <x:v>Rarely</x:v>
      </x:c>
      <x:c r="AI26" s="9" t="str">
        <x:v>Somewhat</x:v>
      </x:c>
      <x:c r="AJ26" s="9" t="str">
        <x:v>Care for existing trees and introduce low-maintenance floor planters.</x:v>
      </x:c>
      <x:c r="AK26" s="9" t="str">
        <x:v>Average</x:v>
      </x:c>
      <x:c r="AL26" s="9" t="str">
        <x:v>Somewhat</x:v>
      </x:c>
      <x:c r="AM26" s="9" t="str">
        <x:v>Somewhat</x:v>
      </x:c>
      <x:c r="AN26" s="9" t="str">
        <x:v>Yes</x:v>
      </x:c>
      <x:c r="AO26" s="9" t="str">
        <x:v>No major transport-related problem noticed.</x:v>
      </x:c>
      <x:c r="AP26" s="9" t="str">
        <x:v>Washroom odor can reduce comfort; no other major issue noticed.</x:v>
      </x:c>
      <x:c r="AQ26" s="9" t="str">
        <x:v>No</x:v>
      </x:c>
      <x:c r="AR26" s="9" t="str">
        <x:v>Somewhat</x:v>
      </x:c>
      <x:c r="AS26" s="9" t="str">
        <x:v>Occasional AC condensate leakage; no major incident.</x:v>
      </x:c>
      <x:c r="AT26" s="9" t="str">
        <x:v>Average</x:v>
      </x:c>
      <x:c r="AU26" s="9" t="str">
        <x:v>Water leakage; stuffy corridors; insufficient waste sorting.</x:v>
      </x:c>
      <x:c r="AV26" s="9" t="str">
        <x:v>Repair water leakage to reduce wastage and improve sanitation.</x:v>
      </x:c>
      <x:c r="AW26" s="9" t="str">
        <x:v>Post evacuation maps, improve washroom cleaning, and add indoor plants.</x:v>
      </x:c>
      <x:c r="AX26" s="9" t="str">
        <x:v>Maybe</x:v>
      </x:c>
      <x:c r="AY26" s="9" t="str">
        <x:v>Check AC water leakage and keep nearby floors dry.</x:v>
      </x:c>
      <x:c r="AZ26" s="8" t="n">
        <x:f>IF(G26="","",IF(G26="Very poor",1,IF(G26="Poor",2,IF(G26="Average",3,IF(G26="Good",4,IF(G26="Very good",5,""))))))</x:f>
        <x:v>2</x:v>
      </x:c>
      <x:c r="BA26" s="8" t="n">
        <x:f>IF(I26="","",IF(I26="Very poor",1,IF(I26="Poor",2,IF(I26="Average",3,IF(I26="Good",4,IF(I26="Very good",5,""))))))</x:f>
        <x:v>1</x:v>
      </x:c>
      <x:c r="BB26" s="8" t="n">
        <x:f>IF(J26="","",IF(J26="Very poor",1,IF(J26="Poor",2,IF(J26="Average",3,IF(J26="Good",4,IF(J26="Very good",5,""))))))</x:f>
        <x:v>2</x:v>
      </x:c>
      <x:c r="BC26" s="8" t="n">
        <x:f>IF(Q26="","",IF(Q26="Very poor",1,IF(Q26="Poor",2,IF(Q26="Average",3,IF(Q26="Effective",4,IF(Q26="Very effective",5,""))))))</x:f>
        <x:v>2</x:v>
      </x:c>
      <x:c r="BD26" s="8" t="n">
        <x:f>IF(S26="","",IF(S26="Never",1,IF(S26="Rarely",2,IF(S26="Sometimes",3,IF(S26="Often",4,IF(S26="Always",5,""))))))</x:f>
        <x:v>2</x:v>
      </x:c>
      <x:c r="BE26" s="8" t="n">
        <x:f>IF(U26="","",IF(U26="Very poor",1,IF(U26="Poor",2,IF(U26="Average",3,IF(U26="Good",4,IF(U26="Very good",5,""))))))</x:f>
        <x:v>4</x:v>
      </x:c>
      <x:c r="BF26" s="8" t="n">
        <x:f>IF(V26="","",IF(V26="Very poor",1,IF(V26="Poor",2,IF(V26="Average",3,IF(V26="Good",4,IF(V26="Very good",5,""))))))</x:f>
        <x:v>3</x:v>
      </x:c>
      <x:c r="BG26" s="8" t="n">
        <x:f>IF(AB26="","",IF(AB26="Never",1,IF(AB26="Rarely",2,IF(AB26="Sometimes",3,IF(AB26="Often",4,IF(AB26="Always",5,""))))))</x:f>
        <x:v>3</x:v>
      </x:c>
      <x:c r="BH26" s="8" t="n">
        <x:f>IF(AF26="","",IF(AF26="Very poor",1,IF(AF26="Poor",2,IF(AF26="Average",3,IF(AF26="Good",4,IF(AF26="Very good",5,""))))))</x:f>
        <x:v>5</x:v>
      </x:c>
      <x:c r="BI26" s="8" t="n">
        <x:f>IF(AK26="","",IF(AK26="Very poor",1,IF(AK26="Poor",2,IF(AK26="Average",3,IF(AK26="Good",4,IF(AK26="Very good",5,""))))))</x:f>
        <x:v>3</x:v>
      </x:c>
      <x:c r="BJ26" s="8" t="n">
        <x:f>IF(AT26="","",IF(AT26="Very poor",1,IF(AT26="Poor",2,IF(AT26="Average",3,IF(AT26="Good",4,IF(AT26="Very good",5,""))))))</x:f>
        <x:v>3</x:v>
      </x:c>
      <x:c r="BK26" s="8"/>
    </x:row>
    <x:row r="27">
      <x:c r="A27" t="str">
        <x:v>SIM-22</x:v>
      </x:c>
      <x:c r="B27" t="str">
        <x:v>Synthetic</x:v>
      </x:c>
      <x:c r="C27" s="9" t="str">
        <x:v>Maintenance</x:v>
      </x:c>
      <x:c r="D27" s="9" t="str">
        <x:v>Daily</x:v>
      </x:c>
      <x:c r="E27" s="9" t="str">
        <x:v>7–8 hours</x:v>
      </x:c>
      <x:c r="F27" s="9" t="str">
        <x:v>Corridor</x:v>
      </x:c>
      <x:c r="G27" s="9" t="str">
        <x:v>Very poor</x:v>
      </x:c>
      <x:c r="H27" s="9" t="str">
        <x:v>Yes—limited air movement near department corridors.</x:v>
      </x:c>
      <x:c r="I27" s="9" t="str">
        <x:v>Poor</x:v>
      </x:c>
      <x:c r="J27" s="9" t="str">
        <x:v>Very poor</x:v>
      </x:c>
      <x:c r="K27" s="9" t="str">
        <x:v>Somewhat</x:v>
      </x:c>
      <x:c r="L27" s="9" t="str">
        <x:v>Occasional noise from nearby construction.</x:v>
      </x:c>
      <x:c r="M27" s="9" t="str">
        <x:v>No persistent indoor smoke observed; occasional dust near ground-floor parking.</x:v>
      </x:c>
      <x:c r="N27" s="9" t="str">
        <x:v>Department corridors and washrooms.</x:v>
      </x:c>
      <x:c r="O27" s="9" t="str">
        <x:v>Yes</x:v>
      </x:c>
      <x:c r="P27" s="9" t="str">
        <x:v>No</x:v>
      </x:c>
      <x:c r="Q27" s="9" t="str">
        <x:v>Very poor</x:v>
      </x:c>
      <x:c r="R27" s="9" t="str">
        <x:v>Paper, Plastic, Food waste</x:v>
      </x:c>
      <x:c r="S27" s="9" t="str">
        <x:v>Sometimes</x:v>
      </x:c>
      <x:c r="T27" s="9" t="str">
        <x:v>Introduce labeled paper, plastic, and food-waste bins.</x:v>
      </x:c>
      <x:c r="U27" s="9" t="str">
        <x:v>Good</x:v>
      </x:c>
      <x:c r="V27" s="9" t="str">
        <x:v>Poor</x:v>
      </x:c>
      <x:c r="W27" s="9" t="str">
        <x:v>Yes—some taps and flush fittings need repair.</x:v>
      </x:c>
      <x:c r="X27" s="9" t="str">
        <x:v>No standing water noticed around the building.</x:v>
      </x:c>
      <x:c r="Y27" s="9" t="str">
        <x:v>Yes</x:v>
      </x:c>
      <x:c r="Z27" s="9" t="str">
        <x:v>Occasional blocked flush and washroom odor.</x:v>
      </x:c>
      <x:c r="AA27" s="9" t="str">
        <x:v>Yes</x:v>
      </x:c>
      <x:c r="AB27" s="9" t="str">
        <x:v>Sometimes</x:v>
      </x:c>
      <x:c r="AC27" s="9" t="str">
        <x:v>LED lighting is noticeable; no occupancy sensors noticed. Windows exist but ventilation varies.</x:v>
      </x:c>
      <x:c r="AD27" s="9" t="str">
        <x:v>Use a documented end-of-day inspection for ACs, lights and fans.</x:v>
      </x:c>
      <x:c r="AE27" s="9" t="str">
        <x:v>Somewhat—online submission can reduce printing.</x:v>
      </x:c>
      <x:c r="AF27" s="9" t="str">
        <x:v>Average</x:v>
      </x:c>
      <x:c r="AG27" s="9" t="str">
        <x:v>Somewhat</x:v>
      </x:c>
      <x:c r="AH27" s="9" t="str">
        <x:v>Rarely</x:v>
      </x:c>
      <x:c r="AI27" s="9" t="str">
        <x:v>Somewhat</x:v>
      </x:c>
      <x:c r="AJ27" s="9" t="str">
        <x:v>Maintain existing greenery and add suitable indoor plants on each floor.</x:v>
      </x:c>
      <x:c r="AK27" s="9" t="str">
        <x:v>Good</x:v>
      </x:c>
      <x:c r="AL27" s="9" t="str">
        <x:v>No</x:v>
      </x:c>
      <x:c r="AM27" s="9" t="str">
        <x:v>Yes</x:v>
      </x:c>
      <x:c r="AN27" s="9" t="str">
        <x:v>Yes</x:v>
      </x:c>
      <x:c r="AO27" s="9" t="str">
        <x:v>Occasional vehicle noise; no major persistent issue noticed.</x:v>
      </x:c>
      <x:c r="AP27" s="9" t="str">
        <x:v>Poor washroom conditions and stuffy corridors may affect comfort.</x:v>
      </x:c>
      <x:c r="AQ27" s="9" t="str">
        <x:v>No</x:v>
      </x:c>
      <x:c r="AR27" s="9" t="str">
        <x:v>Somewhat</x:v>
      </x:c>
      <x:c r="AS27" s="9" t="str">
        <x:v>No specific incident observed.</x:v>
      </x:c>
      <x:c r="AT27" s="9" t="str">
        <x:v>Average</x:v>
      </x:c>
      <x:c r="AU27" s="9" t="str">
        <x:v>Washroom hygiene; weak waste segregation; inefficient electricity use.</x:v>
      </x:c>
      <x:c r="AV27" s="9" t="str">
        <x:v>Washroom hygiene, because it affects daily comfort and water use.</x:v>
      </x:c>
      <x:c r="AW27" s="9" t="str">
        <x:v>Repair taps and flushes; add labeled bins; train occupants on fire safety.</x:v>
      </x:c>
      <x:c r="AX27" s="9" t="str">
        <x:v>Yes</x:v>
      </x:c>
      <x:c r="AY27" s="9" t="str">
        <x:v>A shoe rack by the male prayer room could keep the corridor clear.</x:v>
      </x:c>
      <x:c r="AZ27" s="8" t="n">
        <x:f>IF(G27="","",IF(G27="Very poor",1,IF(G27="Poor",2,IF(G27="Average",3,IF(G27="Good",4,IF(G27="Very good",5,""))))))</x:f>
        <x:v>1</x:v>
      </x:c>
      <x:c r="BA27" s="8" t="n">
        <x:f>IF(I27="","",IF(I27="Very poor",1,IF(I27="Poor",2,IF(I27="Average",3,IF(I27="Good",4,IF(I27="Very good",5,""))))))</x:f>
        <x:v>2</x:v>
      </x:c>
      <x:c r="BB27" s="8" t="n">
        <x:f>IF(J27="","",IF(J27="Very poor",1,IF(J27="Poor",2,IF(J27="Average",3,IF(J27="Good",4,IF(J27="Very good",5,""))))))</x:f>
        <x:v>1</x:v>
      </x:c>
      <x:c r="BC27" s="8" t="n">
        <x:f>IF(Q27="","",IF(Q27="Very poor",1,IF(Q27="Poor",2,IF(Q27="Average",3,IF(Q27="Effective",4,IF(Q27="Very effective",5,""))))))</x:f>
        <x:v>1</x:v>
      </x:c>
      <x:c r="BD27" s="8" t="n">
        <x:f>IF(S27="","",IF(S27="Never",1,IF(S27="Rarely",2,IF(S27="Sometimes",3,IF(S27="Often",4,IF(S27="Always",5,""))))))</x:f>
        <x:v>3</x:v>
      </x:c>
      <x:c r="BE27" s="8" t="n">
        <x:f>IF(U27="","",IF(U27="Very poor",1,IF(U27="Poor",2,IF(U27="Average",3,IF(U27="Good",4,IF(U27="Very good",5,""))))))</x:f>
        <x:v>4</x:v>
      </x:c>
      <x:c r="BF27" s="8" t="n">
        <x:f>IF(V27="","",IF(V27="Very poor",1,IF(V27="Poor",2,IF(V27="Average",3,IF(V27="Good",4,IF(V27="Very good",5,""))))))</x:f>
        <x:v>2</x:v>
      </x:c>
      <x:c r="BG27" s="8" t="n">
        <x:f>IF(AB27="","",IF(AB27="Never",1,IF(AB27="Rarely",2,IF(AB27="Sometimes",3,IF(AB27="Often",4,IF(AB27="Always",5,""))))))</x:f>
        <x:v>3</x:v>
      </x:c>
      <x:c r="BH27" s="8" t="n">
        <x:f>IF(AF27="","",IF(AF27="Very poor",1,IF(AF27="Poor",2,IF(AF27="Average",3,IF(AF27="Good",4,IF(AF27="Very good",5,""))))))</x:f>
        <x:v>3</x:v>
      </x:c>
      <x:c r="BI27" s="8" t="n">
        <x:f>IF(AK27="","",IF(AK27="Very poor",1,IF(AK27="Poor",2,IF(AK27="Average",3,IF(AK27="Good",4,IF(AK27="Very good",5,""))))))</x:f>
        <x:v>4</x:v>
      </x:c>
      <x:c r="BJ27" s="8" t="n">
        <x:f>IF(AT27="","",IF(AT27="Very poor",1,IF(AT27="Poor",2,IF(AT27="Average",3,IF(AT27="Good",4,IF(AT27="Very good",5,""))))))</x:f>
        <x:v>3</x:v>
      </x:c>
      <x:c r="BK27" s="8"/>
    </x:row>
    <x:row r="28"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  <x:c r="AA28" s="8"/>
      <x:c r="AB28" s="8"/>
      <x:c r="AC28" s="8"/>
      <x:c r="AD28" s="8"/>
      <x:c r="AE28" s="8"/>
      <x:c r="AF28" s="8"/>
      <x:c r="AG28" s="8"/>
      <x:c r="AH28" s="8"/>
      <x:c r="AI28" s="8"/>
      <x:c r="AJ28" s="8"/>
      <x:c r="AK28" s="8"/>
      <x:c r="AL28" s="8"/>
      <x:c r="AM28" s="8"/>
      <x:c r="AN28" s="8"/>
      <x:c r="AO28" s="8"/>
      <x:c r="AP28" s="8"/>
      <x:c r="AQ28" s="8"/>
      <x:c r="AR28" s="8"/>
      <x:c r="AS28" s="8"/>
      <x:c r="AT28" s="8"/>
      <x:c r="AU28" s="8"/>
      <x:c r="AV28" s="8"/>
      <x:c r="AW28" s="8"/>
      <x:c r="AX28" s="8"/>
      <x:c r="AY28" s="8"/>
      <x:c r="AZ28" s="8" t="str">
        <x:f>IF(G28="","",IF(G28="Very poor",1,IF(G28="Poor",2,IF(G28="Average",3,IF(G28="Good",4,IF(G28="Very good",5,""))))))</x:f>
      </x:c>
      <x:c r="BA28" s="8" t="str">
        <x:f>IF(I28="","",IF(I28="Very poor",1,IF(I28="Poor",2,IF(I28="Average",3,IF(I28="Good",4,IF(I28="Very good",5,""))))))</x:f>
      </x:c>
      <x:c r="BB28" s="8" t="str">
        <x:f>IF(J28="","",IF(J28="Very poor",1,IF(J28="Poor",2,IF(J28="Average",3,IF(J28="Good",4,IF(J28="Very good",5,""))))))</x:f>
      </x:c>
      <x:c r="BC28" s="8" t="str">
        <x:f>IF(Q28="","",IF(Q28="Very poor",1,IF(Q28="Poor",2,IF(Q28="Average",3,IF(Q28="Effective",4,IF(Q28="Very effective",5,""))))))</x:f>
      </x:c>
      <x:c r="BD28" s="8" t="str">
        <x:f>IF(S28="","",IF(S28="Never",1,IF(S28="Rarely",2,IF(S28="Sometimes",3,IF(S28="Often",4,IF(S28="Always",5,""))))))</x:f>
      </x:c>
      <x:c r="BE28" s="8" t="str">
        <x:f>IF(U28="","",IF(U28="Very poor",1,IF(U28="Poor",2,IF(U28="Average",3,IF(U28="Good",4,IF(U28="Very good",5,""))))))</x:f>
      </x:c>
      <x:c r="BF28" s="8" t="str">
        <x:f>IF(V28="","",IF(V28="Very poor",1,IF(V28="Poor",2,IF(V28="Average",3,IF(V28="Good",4,IF(V28="Very good",5,""))))))</x:f>
      </x:c>
      <x:c r="BG28" s="8" t="str">
        <x:f>IF(AB28="","",IF(AB28="Never",1,IF(AB28="Rarely",2,IF(AB28="Sometimes",3,IF(AB28="Often",4,IF(AB28="Always",5,""))))))</x:f>
      </x:c>
      <x:c r="BH28" s="8" t="str">
        <x:f>IF(AF28="","",IF(AF28="Very poor",1,IF(AF28="Poor",2,IF(AF28="Average",3,IF(AF28="Good",4,IF(AF28="Very good",5,""))))))</x:f>
      </x:c>
      <x:c r="BI28" s="8" t="str">
        <x:f>IF(AK28="","",IF(AK28="Very poor",1,IF(AK28="Poor",2,IF(AK28="Average",3,IF(AK28="Good",4,IF(AK28="Very good",5,""))))))</x:f>
      </x:c>
      <x:c r="BJ28" s="8" t="str">
        <x:f>IF(AT28="","",IF(AT28="Very poor",1,IF(AT28="Poor",2,IF(AT28="Average",3,IF(AT28="Good",4,IF(AT28="Very good",5,""))))))</x:f>
      </x:c>
      <x:c r="BK28" s="8"/>
    </x:row>
    <x:row r="29"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  <x:c r="AA29" s="8"/>
      <x:c r="AB29" s="8"/>
      <x:c r="AC29" s="8"/>
      <x:c r="AD29" s="8"/>
      <x:c r="AE29" s="8"/>
      <x:c r="AF29" s="8"/>
      <x:c r="AG29" s="8"/>
      <x:c r="AH29" s="8"/>
      <x:c r="AI29" s="8"/>
      <x:c r="AJ29" s="8"/>
      <x:c r="AK29" s="8"/>
      <x:c r="AL29" s="8"/>
      <x:c r="AM29" s="8"/>
      <x:c r="AN29" s="8"/>
      <x:c r="AO29" s="8"/>
      <x:c r="AP29" s="8"/>
      <x:c r="AQ29" s="8"/>
      <x:c r="AR29" s="8"/>
      <x:c r="AS29" s="8"/>
      <x:c r="AT29" s="8"/>
      <x:c r="AU29" s="8"/>
      <x:c r="AV29" s="8"/>
      <x:c r="AW29" s="8"/>
      <x:c r="AX29" s="8"/>
      <x:c r="AY29" s="8"/>
      <x:c r="AZ29" s="8" t="str">
        <x:f>IF(G29="","",IF(G29="Very poor",1,IF(G29="Poor",2,IF(G29="Average",3,IF(G29="Good",4,IF(G29="Very good",5,""))))))</x:f>
      </x:c>
      <x:c r="BA29" s="8" t="str">
        <x:f>IF(I29="","",IF(I29="Very poor",1,IF(I29="Poor",2,IF(I29="Average",3,IF(I29="Good",4,IF(I29="Very good",5,""))))))</x:f>
      </x:c>
      <x:c r="BB29" s="8" t="str">
        <x:f>IF(J29="","",IF(J29="Very poor",1,IF(J29="Poor",2,IF(J29="Average",3,IF(J29="Good",4,IF(J29="Very good",5,""))))))</x:f>
      </x:c>
      <x:c r="BC29" s="8" t="str">
        <x:f>IF(Q29="","",IF(Q29="Very poor",1,IF(Q29="Poor",2,IF(Q29="Average",3,IF(Q29="Effective",4,IF(Q29="Very effective",5,""))))))</x:f>
      </x:c>
      <x:c r="BD29" s="8" t="str">
        <x:f>IF(S29="","",IF(S29="Never",1,IF(S29="Rarely",2,IF(S29="Sometimes",3,IF(S29="Often",4,IF(S29="Always",5,""))))))</x:f>
      </x:c>
      <x:c r="BE29" s="8" t="str">
        <x:f>IF(U29="","",IF(U29="Very poor",1,IF(U29="Poor",2,IF(U29="Average",3,IF(U29="Good",4,IF(U29="Very good",5,""))))))</x:f>
      </x:c>
      <x:c r="BF29" s="8" t="str">
        <x:f>IF(V29="","",IF(V29="Very poor",1,IF(V29="Poor",2,IF(V29="Average",3,IF(V29="Good",4,IF(V29="Very good",5,""))))))</x:f>
      </x:c>
      <x:c r="BG29" s="8" t="str">
        <x:f>IF(AB29="","",IF(AB29="Never",1,IF(AB29="Rarely",2,IF(AB29="Sometimes",3,IF(AB29="Often",4,IF(AB29="Always",5,""))))))</x:f>
      </x:c>
      <x:c r="BH29" s="8" t="str">
        <x:f>IF(AF29="","",IF(AF29="Very poor",1,IF(AF29="Poor",2,IF(AF29="Average",3,IF(AF29="Good",4,IF(AF29="Very good",5,""))))))</x:f>
      </x:c>
      <x:c r="BI29" s="8" t="str">
        <x:f>IF(AK29="","",IF(AK29="Very poor",1,IF(AK29="Poor",2,IF(AK29="Average",3,IF(AK29="Good",4,IF(AK29="Very good",5,""))))))</x:f>
      </x:c>
      <x:c r="BJ29" s="8" t="str">
        <x:f>IF(AT29="","",IF(AT29="Very poor",1,IF(AT29="Poor",2,IF(AT29="Average",3,IF(AT29="Good",4,IF(AT29="Very good",5,""))))))</x:f>
      </x:c>
      <x:c r="BK29" s="8"/>
    </x:row>
    <x:row r="30"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  <x:c r="AA30" s="8"/>
      <x:c r="AB30" s="8"/>
      <x:c r="AC30" s="8"/>
      <x:c r="AD30" s="8"/>
      <x:c r="AE30" s="8"/>
      <x:c r="AF30" s="8"/>
      <x:c r="AG30" s="8"/>
      <x:c r="AH30" s="8"/>
      <x:c r="AI30" s="8"/>
      <x:c r="AJ30" s="8"/>
      <x:c r="AK30" s="8"/>
      <x:c r="AL30" s="8"/>
      <x:c r="AM30" s="8"/>
      <x:c r="AN30" s="8"/>
      <x:c r="AO30" s="8"/>
      <x:c r="AP30" s="8"/>
      <x:c r="AQ30" s="8"/>
      <x:c r="AR30" s="8"/>
      <x:c r="AS30" s="8"/>
      <x:c r="AT30" s="8"/>
      <x:c r="AU30" s="8"/>
      <x:c r="AV30" s="8"/>
      <x:c r="AW30" s="8"/>
      <x:c r="AX30" s="8"/>
      <x:c r="AY30" s="8"/>
      <x:c r="AZ30" s="8" t="str">
        <x:f>IF(G30="","",IF(G30="Very poor",1,IF(G30="Poor",2,IF(G30="Average",3,IF(G30="Good",4,IF(G30="Very good",5,""))))))</x:f>
      </x:c>
      <x:c r="BA30" s="8" t="str">
        <x:f>IF(I30="","",IF(I30="Very poor",1,IF(I30="Poor",2,IF(I30="Average",3,IF(I30="Good",4,IF(I30="Very good",5,""))))))</x:f>
      </x:c>
      <x:c r="BB30" s="8" t="str">
        <x:f>IF(J30="","",IF(J30="Very poor",1,IF(J30="Poor",2,IF(J30="Average",3,IF(J30="Good",4,IF(J30="Very good",5,""))))))</x:f>
      </x:c>
      <x:c r="BC30" s="8" t="str">
        <x:f>IF(Q30="","",IF(Q30="Very poor",1,IF(Q30="Poor",2,IF(Q30="Average",3,IF(Q30="Effective",4,IF(Q30="Very effective",5,""))))))</x:f>
      </x:c>
      <x:c r="BD30" s="8" t="str">
        <x:f>IF(S30="","",IF(S30="Never",1,IF(S30="Rarely",2,IF(S30="Sometimes",3,IF(S30="Often",4,IF(S30="Always",5,""))))))</x:f>
      </x:c>
      <x:c r="BE30" s="8" t="str">
        <x:f>IF(U30="","",IF(U30="Very poor",1,IF(U30="Poor",2,IF(U30="Average",3,IF(U30="Good",4,IF(U30="Very good",5,""))))))</x:f>
      </x:c>
      <x:c r="BF30" s="8" t="str">
        <x:f>IF(V30="","",IF(V30="Very poor",1,IF(V30="Poor",2,IF(V30="Average",3,IF(V30="Good",4,IF(V30="Very good",5,""))))))</x:f>
      </x:c>
      <x:c r="BG30" s="8" t="str">
        <x:f>IF(AB30="","",IF(AB30="Never",1,IF(AB30="Rarely",2,IF(AB30="Sometimes",3,IF(AB30="Often",4,IF(AB30="Always",5,""))))))</x:f>
      </x:c>
      <x:c r="BH30" s="8" t="str">
        <x:f>IF(AF30="","",IF(AF30="Very poor",1,IF(AF30="Poor",2,IF(AF30="Average",3,IF(AF30="Good",4,IF(AF30="Very good",5,""))))))</x:f>
      </x:c>
      <x:c r="BI30" s="8" t="str">
        <x:f>IF(AK30="","",IF(AK30="Very poor",1,IF(AK30="Poor",2,IF(AK30="Average",3,IF(AK30="Good",4,IF(AK30="Very good",5,""))))))</x:f>
      </x:c>
      <x:c r="BJ30" s="8" t="str">
        <x:f>IF(AT30="","",IF(AT30="Very poor",1,IF(AT30="Poor",2,IF(AT30="Average",3,IF(AT30="Good",4,IF(AT30="Very good",5,""))))))</x:f>
      </x:c>
      <x:c r="BK30" s="8"/>
    </x:row>
    <x:row r="31"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  <x:c r="AA31" s="8"/>
      <x:c r="AB31" s="8"/>
      <x:c r="AC31" s="8"/>
      <x:c r="AD31" s="8"/>
      <x:c r="AE31" s="8"/>
      <x:c r="AF31" s="8"/>
      <x:c r="AG31" s="8"/>
      <x:c r="AH31" s="8"/>
      <x:c r="AI31" s="8"/>
      <x:c r="AJ31" s="8"/>
      <x:c r="AK31" s="8"/>
      <x:c r="AL31" s="8"/>
      <x:c r="AM31" s="8"/>
      <x:c r="AN31" s="8"/>
      <x:c r="AO31" s="8"/>
      <x:c r="AP31" s="8"/>
      <x:c r="AQ31" s="8"/>
      <x:c r="AR31" s="8"/>
      <x:c r="AS31" s="8"/>
      <x:c r="AT31" s="8"/>
      <x:c r="AU31" s="8"/>
      <x:c r="AV31" s="8"/>
      <x:c r="AW31" s="8"/>
      <x:c r="AX31" s="8"/>
      <x:c r="AY31" s="8"/>
      <x:c r="AZ31" s="8" t="str">
        <x:f>IF(G31="","",IF(G31="Very poor",1,IF(G31="Poor",2,IF(G31="Average",3,IF(G31="Good",4,IF(G31="Very good",5,""))))))</x:f>
      </x:c>
      <x:c r="BA31" s="8" t="str">
        <x:f>IF(I31="","",IF(I31="Very poor",1,IF(I31="Poor",2,IF(I31="Average",3,IF(I31="Good",4,IF(I31="Very good",5,""))))))</x:f>
      </x:c>
      <x:c r="BB31" s="8" t="str">
        <x:f>IF(J31="","",IF(J31="Very poor",1,IF(J31="Poor",2,IF(J31="Average",3,IF(J31="Good",4,IF(J31="Very good",5,""))))))</x:f>
      </x:c>
      <x:c r="BC31" s="8" t="str">
        <x:f>IF(Q31="","",IF(Q31="Very poor",1,IF(Q31="Poor",2,IF(Q31="Average",3,IF(Q31="Effective",4,IF(Q31="Very effective",5,""))))))</x:f>
      </x:c>
      <x:c r="BD31" s="8" t="str">
        <x:f>IF(S31="","",IF(S31="Never",1,IF(S31="Rarely",2,IF(S31="Sometimes",3,IF(S31="Often",4,IF(S31="Always",5,""))))))</x:f>
      </x:c>
      <x:c r="BE31" s="8" t="str">
        <x:f>IF(U31="","",IF(U31="Very poor",1,IF(U31="Poor",2,IF(U31="Average",3,IF(U31="Good",4,IF(U31="Very good",5,""))))))</x:f>
      </x:c>
      <x:c r="BF31" s="8" t="str">
        <x:f>IF(V31="","",IF(V31="Very poor",1,IF(V31="Poor",2,IF(V31="Average",3,IF(V31="Good",4,IF(V31="Very good",5,""))))))</x:f>
      </x:c>
      <x:c r="BG31" s="8" t="str">
        <x:f>IF(AB31="","",IF(AB31="Never",1,IF(AB31="Rarely",2,IF(AB31="Sometimes",3,IF(AB31="Often",4,IF(AB31="Always",5,""))))))</x:f>
      </x:c>
      <x:c r="BH31" s="8" t="str">
        <x:f>IF(AF31="","",IF(AF31="Very poor",1,IF(AF31="Poor",2,IF(AF31="Average",3,IF(AF31="Good",4,IF(AF31="Very good",5,""))))))</x:f>
      </x:c>
      <x:c r="BI31" s="8" t="str">
        <x:f>IF(AK31="","",IF(AK31="Very poor",1,IF(AK31="Poor",2,IF(AK31="Average",3,IF(AK31="Good",4,IF(AK31="Very good",5,""))))))</x:f>
      </x:c>
      <x:c r="BJ31" s="8" t="str">
        <x:f>IF(AT31="","",IF(AT31="Very poor",1,IF(AT31="Poor",2,IF(AT31="Average",3,IF(AT31="Good",4,IF(AT31="Very good",5,""))))))</x:f>
      </x:c>
      <x:c r="BK31" s="8"/>
    </x:row>
    <x:row r="32"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  <x:c r="AA32" s="8"/>
      <x:c r="AB32" s="8"/>
      <x:c r="AC32" s="8"/>
      <x:c r="AD32" s="8"/>
      <x:c r="AE32" s="8"/>
      <x:c r="AF32" s="8"/>
      <x:c r="AG32" s="8"/>
      <x:c r="AH32" s="8"/>
      <x:c r="AI32" s="8"/>
      <x:c r="AJ32" s="8"/>
      <x:c r="AK32" s="8"/>
      <x:c r="AL32" s="8"/>
      <x:c r="AM32" s="8"/>
      <x:c r="AN32" s="8"/>
      <x:c r="AO32" s="8"/>
      <x:c r="AP32" s="8"/>
      <x:c r="AQ32" s="8"/>
      <x:c r="AR32" s="8"/>
      <x:c r="AS32" s="8"/>
      <x:c r="AT32" s="8"/>
      <x:c r="AU32" s="8"/>
      <x:c r="AV32" s="8"/>
      <x:c r="AW32" s="8"/>
      <x:c r="AX32" s="8"/>
      <x:c r="AY32" s="8"/>
      <x:c r="AZ32" s="8" t="str">
        <x:f>IF(G32="","",IF(G32="Very poor",1,IF(G32="Poor",2,IF(G32="Average",3,IF(G32="Good",4,IF(G32="Very good",5,""))))))</x:f>
      </x:c>
      <x:c r="BA32" s="8" t="str">
        <x:f>IF(I32="","",IF(I32="Very poor",1,IF(I32="Poor",2,IF(I32="Average",3,IF(I32="Good",4,IF(I32="Very good",5,""))))))</x:f>
      </x:c>
      <x:c r="BB32" s="8" t="str">
        <x:f>IF(J32="","",IF(J32="Very poor",1,IF(J32="Poor",2,IF(J32="Average",3,IF(J32="Good",4,IF(J32="Very good",5,""))))))</x:f>
      </x:c>
      <x:c r="BC32" s="8" t="str">
        <x:f>IF(Q32="","",IF(Q32="Very poor",1,IF(Q32="Poor",2,IF(Q32="Average",3,IF(Q32="Effective",4,IF(Q32="Very effective",5,""))))))</x:f>
      </x:c>
      <x:c r="BD32" s="8" t="str">
        <x:f>IF(S32="","",IF(S32="Never",1,IF(S32="Rarely",2,IF(S32="Sometimes",3,IF(S32="Often",4,IF(S32="Always",5,""))))))</x:f>
      </x:c>
      <x:c r="BE32" s="8" t="str">
        <x:f>IF(U32="","",IF(U32="Very poor",1,IF(U32="Poor",2,IF(U32="Average",3,IF(U32="Good",4,IF(U32="Very good",5,""))))))</x:f>
      </x:c>
      <x:c r="BF32" s="8" t="str">
        <x:f>IF(V32="","",IF(V32="Very poor",1,IF(V32="Poor",2,IF(V32="Average",3,IF(V32="Good",4,IF(V32="Very good",5,""))))))</x:f>
      </x:c>
      <x:c r="BG32" s="8" t="str">
        <x:f>IF(AB32="","",IF(AB32="Never",1,IF(AB32="Rarely",2,IF(AB32="Sometimes",3,IF(AB32="Often",4,IF(AB32="Always",5,""))))))</x:f>
      </x:c>
      <x:c r="BH32" s="8" t="str">
        <x:f>IF(AF32="","",IF(AF32="Very poor",1,IF(AF32="Poor",2,IF(AF32="Average",3,IF(AF32="Good",4,IF(AF32="Very good",5,""))))))</x:f>
      </x:c>
      <x:c r="BI32" s="8" t="str">
        <x:f>IF(AK32="","",IF(AK32="Very poor",1,IF(AK32="Poor",2,IF(AK32="Average",3,IF(AK32="Good",4,IF(AK32="Very good",5,""))))))</x:f>
      </x:c>
      <x:c r="BJ32" s="8" t="str">
        <x:f>IF(AT32="","",IF(AT32="Very poor",1,IF(AT32="Poor",2,IF(AT32="Average",3,IF(AT32="Good",4,IF(AT32="Very good",5,""))))))</x:f>
      </x:c>
      <x:c r="BK32" s="8"/>
    </x:row>
    <x:row r="33"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  <x:c r="AA33" s="8"/>
      <x:c r="AB33" s="8"/>
      <x:c r="AC33" s="8"/>
      <x:c r="AD33" s="8"/>
      <x:c r="AE33" s="8"/>
      <x:c r="AF33" s="8"/>
      <x:c r="AG33" s="8"/>
      <x:c r="AH33" s="8"/>
      <x:c r="AI33" s="8"/>
      <x:c r="AJ33" s="8"/>
      <x:c r="AK33" s="8"/>
      <x:c r="AL33" s="8"/>
      <x:c r="AM33" s="8"/>
      <x:c r="AN33" s="8"/>
      <x:c r="AO33" s="8"/>
      <x:c r="AP33" s="8"/>
      <x:c r="AQ33" s="8"/>
      <x:c r="AR33" s="8"/>
      <x:c r="AS33" s="8"/>
      <x:c r="AT33" s="8"/>
      <x:c r="AU33" s="8"/>
      <x:c r="AV33" s="8"/>
      <x:c r="AW33" s="8"/>
      <x:c r="AX33" s="8"/>
      <x:c r="AY33" s="8"/>
      <x:c r="AZ33" s="8" t="str">
        <x:f>IF(G33="","",IF(G33="Very poor",1,IF(G33="Poor",2,IF(G33="Average",3,IF(G33="Good",4,IF(G33="Very good",5,""))))))</x:f>
      </x:c>
      <x:c r="BA33" s="8" t="str">
        <x:f>IF(I33="","",IF(I33="Very poor",1,IF(I33="Poor",2,IF(I33="Average",3,IF(I33="Good",4,IF(I33="Very good",5,""))))))</x:f>
      </x:c>
      <x:c r="BB33" s="8" t="str">
        <x:f>IF(J33="","",IF(J33="Very poor",1,IF(J33="Poor",2,IF(J33="Average",3,IF(J33="Good",4,IF(J33="Very good",5,""))))))</x:f>
      </x:c>
      <x:c r="BC33" s="8" t="str">
        <x:f>IF(Q33="","",IF(Q33="Very poor",1,IF(Q33="Poor",2,IF(Q33="Average",3,IF(Q33="Effective",4,IF(Q33="Very effective",5,""))))))</x:f>
      </x:c>
      <x:c r="BD33" s="8" t="str">
        <x:f>IF(S33="","",IF(S33="Never",1,IF(S33="Rarely",2,IF(S33="Sometimes",3,IF(S33="Often",4,IF(S33="Always",5,""))))))</x:f>
      </x:c>
      <x:c r="BE33" s="8" t="str">
        <x:f>IF(U33="","",IF(U33="Very poor",1,IF(U33="Poor",2,IF(U33="Average",3,IF(U33="Good",4,IF(U33="Very good",5,""))))))</x:f>
      </x:c>
      <x:c r="BF33" s="8" t="str">
        <x:f>IF(V33="","",IF(V33="Very poor",1,IF(V33="Poor",2,IF(V33="Average",3,IF(V33="Good",4,IF(V33="Very good",5,""))))))</x:f>
      </x:c>
      <x:c r="BG33" s="8" t="str">
        <x:f>IF(AB33="","",IF(AB33="Never",1,IF(AB33="Rarely",2,IF(AB33="Sometimes",3,IF(AB33="Often",4,IF(AB33="Always",5,""))))))</x:f>
      </x:c>
      <x:c r="BH33" s="8" t="str">
        <x:f>IF(AF33="","",IF(AF33="Very poor",1,IF(AF33="Poor",2,IF(AF33="Average",3,IF(AF33="Good",4,IF(AF33="Very good",5,""))))))</x:f>
      </x:c>
      <x:c r="BI33" s="8" t="str">
        <x:f>IF(AK33="","",IF(AK33="Very poor",1,IF(AK33="Poor",2,IF(AK33="Average",3,IF(AK33="Good",4,IF(AK33="Very good",5,""))))))</x:f>
      </x:c>
      <x:c r="BJ33" s="8" t="str">
        <x:f>IF(AT33="","",IF(AT33="Very poor",1,IF(AT33="Poor",2,IF(AT33="Average",3,IF(AT33="Good",4,IF(AT33="Very good",5,""))))))</x:f>
      </x:c>
      <x:c r="BK33" s="8"/>
    </x:row>
    <x:row r="34"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  <x:c r="AA34" s="8"/>
      <x:c r="AB34" s="8"/>
      <x:c r="AC34" s="8"/>
      <x:c r="AD34" s="8"/>
      <x:c r="AE34" s="8"/>
      <x:c r="AF34" s="8"/>
      <x:c r="AG34" s="8"/>
      <x:c r="AH34" s="8"/>
      <x:c r="AI34" s="8"/>
      <x:c r="AJ34" s="8"/>
      <x:c r="AK34" s="8"/>
      <x:c r="AL34" s="8"/>
      <x:c r="AM34" s="8"/>
      <x:c r="AN34" s="8"/>
      <x:c r="AO34" s="8"/>
      <x:c r="AP34" s="8"/>
      <x:c r="AQ34" s="8"/>
      <x:c r="AR34" s="8"/>
      <x:c r="AS34" s="8"/>
      <x:c r="AT34" s="8"/>
      <x:c r="AU34" s="8"/>
      <x:c r="AV34" s="8"/>
      <x:c r="AW34" s="8"/>
      <x:c r="AX34" s="8"/>
      <x:c r="AY34" s="8"/>
      <x:c r="AZ34" s="8" t="str">
        <x:f>IF(G34="","",IF(G34="Very poor",1,IF(G34="Poor",2,IF(G34="Average",3,IF(G34="Good",4,IF(G34="Very good",5,""))))))</x:f>
      </x:c>
      <x:c r="BA34" s="8" t="str">
        <x:f>IF(I34="","",IF(I34="Very poor",1,IF(I34="Poor",2,IF(I34="Average",3,IF(I34="Good",4,IF(I34="Very good",5,""))))))</x:f>
      </x:c>
      <x:c r="BB34" s="8" t="str">
        <x:f>IF(J34="","",IF(J34="Very poor",1,IF(J34="Poor",2,IF(J34="Average",3,IF(J34="Good",4,IF(J34="Very good",5,""))))))</x:f>
      </x:c>
      <x:c r="BC34" s="8" t="str">
        <x:f>IF(Q34="","",IF(Q34="Very poor",1,IF(Q34="Poor",2,IF(Q34="Average",3,IF(Q34="Effective",4,IF(Q34="Very effective",5,""))))))</x:f>
      </x:c>
      <x:c r="BD34" s="8" t="str">
        <x:f>IF(S34="","",IF(S34="Never",1,IF(S34="Rarely",2,IF(S34="Sometimes",3,IF(S34="Often",4,IF(S34="Always",5,""))))))</x:f>
      </x:c>
      <x:c r="BE34" s="8" t="str">
        <x:f>IF(U34="","",IF(U34="Very poor",1,IF(U34="Poor",2,IF(U34="Average",3,IF(U34="Good",4,IF(U34="Very good",5,""))))))</x:f>
      </x:c>
      <x:c r="BF34" s="8" t="str">
        <x:f>IF(V34="","",IF(V34="Very poor",1,IF(V34="Poor",2,IF(V34="Average",3,IF(V34="Good",4,IF(V34="Very good",5,""))))))</x:f>
      </x:c>
      <x:c r="BG34" s="8" t="str">
        <x:f>IF(AB34="","",IF(AB34="Never",1,IF(AB34="Rarely",2,IF(AB34="Sometimes",3,IF(AB34="Often",4,IF(AB34="Always",5,""))))))</x:f>
      </x:c>
      <x:c r="BH34" s="8" t="str">
        <x:f>IF(AF34="","",IF(AF34="Very poor",1,IF(AF34="Poor",2,IF(AF34="Average",3,IF(AF34="Good",4,IF(AF34="Very good",5,""))))))</x:f>
      </x:c>
      <x:c r="BI34" s="8" t="str">
        <x:f>IF(AK34="","",IF(AK34="Very poor",1,IF(AK34="Poor",2,IF(AK34="Average",3,IF(AK34="Good",4,IF(AK34="Very good",5,""))))))</x:f>
      </x:c>
      <x:c r="BJ34" s="8" t="str">
        <x:f>IF(AT34="","",IF(AT34="Very poor",1,IF(AT34="Poor",2,IF(AT34="Average",3,IF(AT34="Good",4,IF(AT34="Very good",5,""))))))</x:f>
      </x:c>
      <x:c r="BK34" s="8"/>
    </x:row>
    <x:row r="35"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  <x:c r="AA35" s="8"/>
      <x:c r="AB35" s="8"/>
      <x:c r="AC35" s="8"/>
      <x:c r="AD35" s="8"/>
      <x:c r="AE35" s="8"/>
      <x:c r="AF35" s="8"/>
      <x:c r="AG35" s="8"/>
      <x:c r="AH35" s="8"/>
      <x:c r="AI35" s="8"/>
      <x:c r="AJ35" s="8"/>
      <x:c r="AK35" s="8"/>
      <x:c r="AL35" s="8"/>
      <x:c r="AM35" s="8"/>
      <x:c r="AN35" s="8"/>
      <x:c r="AO35" s="8"/>
      <x:c r="AP35" s="8"/>
      <x:c r="AQ35" s="8"/>
      <x:c r="AR35" s="8"/>
      <x:c r="AS35" s="8"/>
      <x:c r="AT35" s="8"/>
      <x:c r="AU35" s="8"/>
      <x:c r="AV35" s="8"/>
      <x:c r="AW35" s="8"/>
      <x:c r="AX35" s="8"/>
      <x:c r="AY35" s="8"/>
      <x:c r="AZ35" s="8" t="str">
        <x:f>IF(G35="","",IF(G35="Very poor",1,IF(G35="Poor",2,IF(G35="Average",3,IF(G35="Good",4,IF(G35="Very good",5,""))))))</x:f>
      </x:c>
      <x:c r="BA35" s="8" t="str">
        <x:f>IF(I35="","",IF(I35="Very poor",1,IF(I35="Poor",2,IF(I35="Average",3,IF(I35="Good",4,IF(I35="Very good",5,""))))))</x:f>
      </x:c>
      <x:c r="BB35" s="8" t="str">
        <x:f>IF(J35="","",IF(J35="Very poor",1,IF(J35="Poor",2,IF(J35="Average",3,IF(J35="Good",4,IF(J35="Very good",5,""))))))</x:f>
      </x:c>
      <x:c r="BC35" s="8" t="str">
        <x:f>IF(Q35="","",IF(Q35="Very poor",1,IF(Q35="Poor",2,IF(Q35="Average",3,IF(Q35="Effective",4,IF(Q35="Very effective",5,""))))))</x:f>
      </x:c>
      <x:c r="BD35" s="8" t="str">
        <x:f>IF(S35="","",IF(S35="Never",1,IF(S35="Rarely",2,IF(S35="Sometimes",3,IF(S35="Often",4,IF(S35="Always",5,""))))))</x:f>
      </x:c>
      <x:c r="BE35" s="8" t="str">
        <x:f>IF(U35="","",IF(U35="Very poor",1,IF(U35="Poor",2,IF(U35="Average",3,IF(U35="Good",4,IF(U35="Very good",5,""))))))</x:f>
      </x:c>
      <x:c r="BF35" s="8" t="str">
        <x:f>IF(V35="","",IF(V35="Very poor",1,IF(V35="Poor",2,IF(V35="Average",3,IF(V35="Good",4,IF(V35="Very good",5,""))))))</x:f>
      </x:c>
      <x:c r="BG35" s="8" t="str">
        <x:f>IF(AB35="","",IF(AB35="Never",1,IF(AB35="Rarely",2,IF(AB35="Sometimes",3,IF(AB35="Often",4,IF(AB35="Always",5,""))))))</x:f>
      </x:c>
      <x:c r="BH35" s="8" t="str">
        <x:f>IF(AF35="","",IF(AF35="Very poor",1,IF(AF35="Poor",2,IF(AF35="Average",3,IF(AF35="Good",4,IF(AF35="Very good",5,""))))))</x:f>
      </x:c>
      <x:c r="BI35" s="8" t="str">
        <x:f>IF(AK35="","",IF(AK35="Very poor",1,IF(AK35="Poor",2,IF(AK35="Average",3,IF(AK35="Good",4,IF(AK35="Very good",5,""))))))</x:f>
      </x:c>
      <x:c r="BJ35" s="8" t="str">
        <x:f>IF(AT35="","",IF(AT35="Very poor",1,IF(AT35="Poor",2,IF(AT35="Average",3,IF(AT35="Good",4,IF(AT35="Very good",5,""))))))</x:f>
      </x:c>
      <x:c r="BK35" s="8"/>
    </x:row>
    <x:row r="36"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  <x:c r="AA36" s="8"/>
      <x:c r="AB36" s="8"/>
      <x:c r="AC36" s="8"/>
      <x:c r="AD36" s="8"/>
      <x:c r="AE36" s="8"/>
      <x:c r="AF36" s="8"/>
      <x:c r="AG36" s="8"/>
      <x:c r="AH36" s="8"/>
      <x:c r="AI36" s="8"/>
      <x:c r="AJ36" s="8"/>
      <x:c r="AK36" s="8"/>
      <x:c r="AL36" s="8"/>
      <x:c r="AM36" s="8"/>
      <x:c r="AN36" s="8"/>
      <x:c r="AO36" s="8"/>
      <x:c r="AP36" s="8"/>
      <x:c r="AQ36" s="8"/>
      <x:c r="AR36" s="8"/>
      <x:c r="AS36" s="8"/>
      <x:c r="AT36" s="8"/>
      <x:c r="AU36" s="8"/>
      <x:c r="AV36" s="8"/>
      <x:c r="AW36" s="8"/>
      <x:c r="AX36" s="8"/>
      <x:c r="AY36" s="8"/>
      <x:c r="AZ36" s="8" t="str">
        <x:f>IF(G36="","",IF(G36="Very poor",1,IF(G36="Poor",2,IF(G36="Average",3,IF(G36="Good",4,IF(G36="Very good",5,""))))))</x:f>
      </x:c>
      <x:c r="BA36" s="8" t="str">
        <x:f>IF(I36="","",IF(I36="Very poor",1,IF(I36="Poor",2,IF(I36="Average",3,IF(I36="Good",4,IF(I36="Very good",5,""))))))</x:f>
      </x:c>
      <x:c r="BB36" s="8" t="str">
        <x:f>IF(J36="","",IF(J36="Very poor",1,IF(J36="Poor",2,IF(J36="Average",3,IF(J36="Good",4,IF(J36="Very good",5,""))))))</x:f>
      </x:c>
      <x:c r="BC36" s="8" t="str">
        <x:f>IF(Q36="","",IF(Q36="Very poor",1,IF(Q36="Poor",2,IF(Q36="Average",3,IF(Q36="Effective",4,IF(Q36="Very effective",5,""))))))</x:f>
      </x:c>
      <x:c r="BD36" s="8" t="str">
        <x:f>IF(S36="","",IF(S36="Never",1,IF(S36="Rarely",2,IF(S36="Sometimes",3,IF(S36="Often",4,IF(S36="Always",5,""))))))</x:f>
      </x:c>
      <x:c r="BE36" s="8" t="str">
        <x:f>IF(U36="","",IF(U36="Very poor",1,IF(U36="Poor",2,IF(U36="Average",3,IF(U36="Good",4,IF(U36="Very good",5,""))))))</x:f>
      </x:c>
      <x:c r="BF36" s="8" t="str">
        <x:f>IF(V36="","",IF(V36="Very poor",1,IF(V36="Poor",2,IF(V36="Average",3,IF(V36="Good",4,IF(V36="Very good",5,""))))))</x:f>
      </x:c>
      <x:c r="BG36" s="8" t="str">
        <x:f>IF(AB36="","",IF(AB36="Never",1,IF(AB36="Rarely",2,IF(AB36="Sometimes",3,IF(AB36="Often",4,IF(AB36="Always",5,""))))))</x:f>
      </x:c>
      <x:c r="BH36" s="8" t="str">
        <x:f>IF(AF36="","",IF(AF36="Very poor",1,IF(AF36="Poor",2,IF(AF36="Average",3,IF(AF36="Good",4,IF(AF36="Very good",5,""))))))</x:f>
      </x:c>
      <x:c r="BI36" s="8" t="str">
        <x:f>IF(AK36="","",IF(AK36="Very poor",1,IF(AK36="Poor",2,IF(AK36="Average",3,IF(AK36="Good",4,IF(AK36="Very good",5,""))))))</x:f>
      </x:c>
      <x:c r="BJ36" s="8" t="str">
        <x:f>IF(AT36="","",IF(AT36="Very poor",1,IF(AT36="Poor",2,IF(AT36="Average",3,IF(AT36="Good",4,IF(AT36="Very good",5,""))))))</x:f>
      </x:c>
      <x:c r="BK36" s="8"/>
    </x:row>
    <x:row r="37"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  <x:c r="AA37" s="8"/>
      <x:c r="AB37" s="8"/>
      <x:c r="AC37" s="8"/>
      <x:c r="AD37" s="8"/>
      <x:c r="AE37" s="8"/>
      <x:c r="AF37" s="8"/>
      <x:c r="AG37" s="8"/>
      <x:c r="AH37" s="8"/>
      <x:c r="AI37" s="8"/>
      <x:c r="AJ37" s="8"/>
      <x:c r="AK37" s="8"/>
      <x:c r="AL37" s="8"/>
      <x:c r="AM37" s="8"/>
      <x:c r="AN37" s="8"/>
      <x:c r="AO37" s="8"/>
      <x:c r="AP37" s="8"/>
      <x:c r="AQ37" s="8"/>
      <x:c r="AR37" s="8"/>
      <x:c r="AS37" s="8"/>
      <x:c r="AT37" s="8"/>
      <x:c r="AU37" s="8"/>
      <x:c r="AV37" s="8"/>
      <x:c r="AW37" s="8"/>
      <x:c r="AX37" s="8"/>
      <x:c r="AY37" s="8"/>
      <x:c r="AZ37" s="8" t="str">
        <x:f>IF(G37="","",IF(G37="Very poor",1,IF(G37="Poor",2,IF(G37="Average",3,IF(G37="Good",4,IF(G37="Very good",5,""))))))</x:f>
      </x:c>
      <x:c r="BA37" s="8" t="str">
        <x:f>IF(I37="","",IF(I37="Very poor",1,IF(I37="Poor",2,IF(I37="Average",3,IF(I37="Good",4,IF(I37="Very good",5,""))))))</x:f>
      </x:c>
      <x:c r="BB37" s="8" t="str">
        <x:f>IF(J37="","",IF(J37="Very poor",1,IF(J37="Poor",2,IF(J37="Average",3,IF(J37="Good",4,IF(J37="Very good",5,""))))))</x:f>
      </x:c>
      <x:c r="BC37" s="8" t="str">
        <x:f>IF(Q37="","",IF(Q37="Very poor",1,IF(Q37="Poor",2,IF(Q37="Average",3,IF(Q37="Effective",4,IF(Q37="Very effective",5,""))))))</x:f>
      </x:c>
      <x:c r="BD37" s="8" t="str">
        <x:f>IF(S37="","",IF(S37="Never",1,IF(S37="Rarely",2,IF(S37="Sometimes",3,IF(S37="Often",4,IF(S37="Always",5,""))))))</x:f>
      </x:c>
      <x:c r="BE37" s="8" t="str">
        <x:f>IF(U37="","",IF(U37="Very poor",1,IF(U37="Poor",2,IF(U37="Average",3,IF(U37="Good",4,IF(U37="Very good",5,""))))))</x:f>
      </x:c>
      <x:c r="BF37" s="8" t="str">
        <x:f>IF(V37="","",IF(V37="Very poor",1,IF(V37="Poor",2,IF(V37="Average",3,IF(V37="Good",4,IF(V37="Very good",5,""))))))</x:f>
      </x:c>
      <x:c r="BG37" s="8" t="str">
        <x:f>IF(AB37="","",IF(AB37="Never",1,IF(AB37="Rarely",2,IF(AB37="Sometimes",3,IF(AB37="Often",4,IF(AB37="Always",5,""))))))</x:f>
      </x:c>
      <x:c r="BH37" s="8" t="str">
        <x:f>IF(AF37="","",IF(AF37="Very poor",1,IF(AF37="Poor",2,IF(AF37="Average",3,IF(AF37="Good",4,IF(AF37="Very good",5,""))))))</x:f>
      </x:c>
      <x:c r="BI37" s="8" t="str">
        <x:f>IF(AK37="","",IF(AK37="Very poor",1,IF(AK37="Poor",2,IF(AK37="Average",3,IF(AK37="Good",4,IF(AK37="Very good",5,""))))))</x:f>
      </x:c>
      <x:c r="BJ37" s="8" t="str">
        <x:f>IF(AT37="","",IF(AT37="Very poor",1,IF(AT37="Poor",2,IF(AT37="Average",3,IF(AT37="Good",4,IF(AT37="Very good",5,""))))))</x:f>
      </x:c>
      <x:c r="BK37" s="8"/>
    </x:row>
    <x:row r="38"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  <x:c r="AA38" s="8"/>
      <x:c r="AB38" s="8"/>
      <x:c r="AC38" s="8"/>
      <x:c r="AD38" s="8"/>
      <x:c r="AE38" s="8"/>
      <x:c r="AF38" s="8"/>
      <x:c r="AG38" s="8"/>
      <x:c r="AH38" s="8"/>
      <x:c r="AI38" s="8"/>
      <x:c r="AJ38" s="8"/>
      <x:c r="AK38" s="8"/>
      <x:c r="AL38" s="8"/>
      <x:c r="AM38" s="8"/>
      <x:c r="AN38" s="8"/>
      <x:c r="AO38" s="8"/>
      <x:c r="AP38" s="8"/>
      <x:c r="AQ38" s="8"/>
      <x:c r="AR38" s="8"/>
      <x:c r="AS38" s="8"/>
      <x:c r="AT38" s="8"/>
      <x:c r="AU38" s="8"/>
      <x:c r="AV38" s="8"/>
      <x:c r="AW38" s="8"/>
      <x:c r="AX38" s="8"/>
      <x:c r="AY38" s="8"/>
      <x:c r="AZ38" s="8" t="str">
        <x:f>IF(G38="","",IF(G38="Very poor",1,IF(G38="Poor",2,IF(G38="Average",3,IF(G38="Good",4,IF(G38="Very good",5,""))))))</x:f>
      </x:c>
      <x:c r="BA38" s="8" t="str">
        <x:f>IF(I38="","",IF(I38="Very poor",1,IF(I38="Poor",2,IF(I38="Average",3,IF(I38="Good",4,IF(I38="Very good",5,""))))))</x:f>
      </x:c>
      <x:c r="BB38" s="8" t="str">
        <x:f>IF(J38="","",IF(J38="Very poor",1,IF(J38="Poor",2,IF(J38="Average",3,IF(J38="Good",4,IF(J38="Very good",5,""))))))</x:f>
      </x:c>
      <x:c r="BC38" s="8" t="str">
        <x:f>IF(Q38="","",IF(Q38="Very poor",1,IF(Q38="Poor",2,IF(Q38="Average",3,IF(Q38="Effective",4,IF(Q38="Very effective",5,""))))))</x:f>
      </x:c>
      <x:c r="BD38" s="8" t="str">
        <x:f>IF(S38="","",IF(S38="Never",1,IF(S38="Rarely",2,IF(S38="Sometimes",3,IF(S38="Often",4,IF(S38="Always",5,""))))))</x:f>
      </x:c>
      <x:c r="BE38" s="8" t="str">
        <x:f>IF(U38="","",IF(U38="Very poor",1,IF(U38="Poor",2,IF(U38="Average",3,IF(U38="Good",4,IF(U38="Very good",5,""))))))</x:f>
      </x:c>
      <x:c r="BF38" s="8" t="str">
        <x:f>IF(V38="","",IF(V38="Very poor",1,IF(V38="Poor",2,IF(V38="Average",3,IF(V38="Good",4,IF(V38="Very good",5,""))))))</x:f>
      </x:c>
      <x:c r="BG38" s="8" t="str">
        <x:f>IF(AB38="","",IF(AB38="Never",1,IF(AB38="Rarely",2,IF(AB38="Sometimes",3,IF(AB38="Often",4,IF(AB38="Always",5,""))))))</x:f>
      </x:c>
      <x:c r="BH38" s="8" t="str">
        <x:f>IF(AF38="","",IF(AF38="Very poor",1,IF(AF38="Poor",2,IF(AF38="Average",3,IF(AF38="Good",4,IF(AF38="Very good",5,""))))))</x:f>
      </x:c>
      <x:c r="BI38" s="8" t="str">
        <x:f>IF(AK38="","",IF(AK38="Very poor",1,IF(AK38="Poor",2,IF(AK38="Average",3,IF(AK38="Good",4,IF(AK38="Very good",5,""))))))</x:f>
      </x:c>
      <x:c r="BJ38" s="8" t="str">
        <x:f>IF(AT38="","",IF(AT38="Very poor",1,IF(AT38="Poor",2,IF(AT38="Average",3,IF(AT38="Good",4,IF(AT38="Very good",5,""))))))</x:f>
      </x:c>
      <x:c r="BK38" s="8"/>
    </x:row>
    <x:row r="39"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  <x:c r="AA39" s="8"/>
      <x:c r="AB39" s="8"/>
      <x:c r="AC39" s="8"/>
      <x:c r="AD39" s="8"/>
      <x:c r="AE39" s="8"/>
      <x:c r="AF39" s="8"/>
      <x:c r="AG39" s="8"/>
      <x:c r="AH39" s="8"/>
      <x:c r="AI39" s="8"/>
      <x:c r="AJ39" s="8"/>
      <x:c r="AK39" s="8"/>
      <x:c r="AL39" s="8"/>
      <x:c r="AM39" s="8"/>
      <x:c r="AN39" s="8"/>
      <x:c r="AO39" s="8"/>
      <x:c r="AP39" s="8"/>
      <x:c r="AQ39" s="8"/>
      <x:c r="AR39" s="8"/>
      <x:c r="AS39" s="8"/>
      <x:c r="AT39" s="8"/>
      <x:c r="AU39" s="8"/>
      <x:c r="AV39" s="8"/>
      <x:c r="AW39" s="8"/>
      <x:c r="AX39" s="8"/>
      <x:c r="AY39" s="8"/>
      <x:c r="AZ39" s="8" t="str">
        <x:f>IF(G39="","",IF(G39="Very poor",1,IF(G39="Poor",2,IF(G39="Average",3,IF(G39="Good",4,IF(G39="Very good",5,""))))))</x:f>
      </x:c>
      <x:c r="BA39" s="8" t="str">
        <x:f>IF(I39="","",IF(I39="Very poor",1,IF(I39="Poor",2,IF(I39="Average",3,IF(I39="Good",4,IF(I39="Very good",5,""))))))</x:f>
      </x:c>
      <x:c r="BB39" s="8" t="str">
        <x:f>IF(J39="","",IF(J39="Very poor",1,IF(J39="Poor",2,IF(J39="Average",3,IF(J39="Good",4,IF(J39="Very good",5,""))))))</x:f>
      </x:c>
      <x:c r="BC39" s="8" t="str">
        <x:f>IF(Q39="","",IF(Q39="Very poor",1,IF(Q39="Poor",2,IF(Q39="Average",3,IF(Q39="Effective",4,IF(Q39="Very effective",5,""))))))</x:f>
      </x:c>
      <x:c r="BD39" s="8" t="str">
        <x:f>IF(S39="","",IF(S39="Never",1,IF(S39="Rarely",2,IF(S39="Sometimes",3,IF(S39="Often",4,IF(S39="Always",5,""))))))</x:f>
      </x:c>
      <x:c r="BE39" s="8" t="str">
        <x:f>IF(U39="","",IF(U39="Very poor",1,IF(U39="Poor",2,IF(U39="Average",3,IF(U39="Good",4,IF(U39="Very good",5,""))))))</x:f>
      </x:c>
      <x:c r="BF39" s="8" t="str">
        <x:f>IF(V39="","",IF(V39="Very poor",1,IF(V39="Poor",2,IF(V39="Average",3,IF(V39="Good",4,IF(V39="Very good",5,""))))))</x:f>
      </x:c>
      <x:c r="BG39" s="8" t="str">
        <x:f>IF(AB39="","",IF(AB39="Never",1,IF(AB39="Rarely",2,IF(AB39="Sometimes",3,IF(AB39="Often",4,IF(AB39="Always",5,""))))))</x:f>
      </x:c>
      <x:c r="BH39" s="8" t="str">
        <x:f>IF(AF39="","",IF(AF39="Very poor",1,IF(AF39="Poor",2,IF(AF39="Average",3,IF(AF39="Good",4,IF(AF39="Very good",5,""))))))</x:f>
      </x:c>
      <x:c r="BI39" s="8" t="str">
        <x:f>IF(AK39="","",IF(AK39="Very poor",1,IF(AK39="Poor",2,IF(AK39="Average",3,IF(AK39="Good",4,IF(AK39="Very good",5,""))))))</x:f>
      </x:c>
      <x:c r="BJ39" s="8" t="str">
        <x:f>IF(AT39="","",IF(AT39="Very poor",1,IF(AT39="Poor",2,IF(AT39="Average",3,IF(AT39="Good",4,IF(AT39="Very good",5,""))))))</x:f>
      </x:c>
      <x:c r="BK39" s="8"/>
    </x:row>
    <x:row r="40"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  <x:c r="AA40" s="8"/>
      <x:c r="AB40" s="8"/>
      <x:c r="AC40" s="8"/>
      <x:c r="AD40" s="8"/>
      <x:c r="AE40" s="8"/>
      <x:c r="AF40" s="8"/>
      <x:c r="AG40" s="8"/>
      <x:c r="AH40" s="8"/>
      <x:c r="AI40" s="8"/>
      <x:c r="AJ40" s="8"/>
      <x:c r="AK40" s="8"/>
      <x:c r="AL40" s="8"/>
      <x:c r="AM40" s="8"/>
      <x:c r="AN40" s="8"/>
      <x:c r="AO40" s="8"/>
      <x:c r="AP40" s="8"/>
      <x:c r="AQ40" s="8"/>
      <x:c r="AR40" s="8"/>
      <x:c r="AS40" s="8"/>
      <x:c r="AT40" s="8"/>
      <x:c r="AU40" s="8"/>
      <x:c r="AV40" s="8"/>
      <x:c r="AW40" s="8"/>
      <x:c r="AX40" s="8"/>
      <x:c r="AY40" s="8"/>
      <x:c r="AZ40" s="8" t="str">
        <x:f>IF(G40="","",IF(G40="Very poor",1,IF(G40="Poor",2,IF(G40="Average",3,IF(G40="Good",4,IF(G40="Very good",5,""))))))</x:f>
      </x:c>
      <x:c r="BA40" s="8" t="str">
        <x:f>IF(I40="","",IF(I40="Very poor",1,IF(I40="Poor",2,IF(I40="Average",3,IF(I40="Good",4,IF(I40="Very good",5,""))))))</x:f>
      </x:c>
      <x:c r="BB40" s="8" t="str">
        <x:f>IF(J40="","",IF(J40="Very poor",1,IF(J40="Poor",2,IF(J40="Average",3,IF(J40="Good",4,IF(J40="Very good",5,""))))))</x:f>
      </x:c>
      <x:c r="BC40" s="8" t="str">
        <x:f>IF(Q40="","",IF(Q40="Very poor",1,IF(Q40="Poor",2,IF(Q40="Average",3,IF(Q40="Effective",4,IF(Q40="Very effective",5,""))))))</x:f>
      </x:c>
      <x:c r="BD40" s="8" t="str">
        <x:f>IF(S40="","",IF(S40="Never",1,IF(S40="Rarely",2,IF(S40="Sometimes",3,IF(S40="Often",4,IF(S40="Always",5,""))))))</x:f>
      </x:c>
      <x:c r="BE40" s="8" t="str">
        <x:f>IF(U40="","",IF(U40="Very poor",1,IF(U40="Poor",2,IF(U40="Average",3,IF(U40="Good",4,IF(U40="Very good",5,""))))))</x:f>
      </x:c>
      <x:c r="BF40" s="8" t="str">
        <x:f>IF(V40="","",IF(V40="Very poor",1,IF(V40="Poor",2,IF(V40="Average",3,IF(V40="Good",4,IF(V40="Very good",5,""))))))</x:f>
      </x:c>
      <x:c r="BG40" s="8" t="str">
        <x:f>IF(AB40="","",IF(AB40="Never",1,IF(AB40="Rarely",2,IF(AB40="Sometimes",3,IF(AB40="Often",4,IF(AB40="Always",5,""))))))</x:f>
      </x:c>
      <x:c r="BH40" s="8" t="str">
        <x:f>IF(AF40="","",IF(AF40="Very poor",1,IF(AF40="Poor",2,IF(AF40="Average",3,IF(AF40="Good",4,IF(AF40="Very good",5,""))))))</x:f>
      </x:c>
      <x:c r="BI40" s="8" t="str">
        <x:f>IF(AK40="","",IF(AK40="Very poor",1,IF(AK40="Poor",2,IF(AK40="Average",3,IF(AK40="Good",4,IF(AK40="Very good",5,""))))))</x:f>
      </x:c>
      <x:c r="BJ40" s="8" t="str">
        <x:f>IF(AT40="","",IF(AT40="Very poor",1,IF(AT40="Poor",2,IF(AT40="Average",3,IF(AT40="Good",4,IF(AT40="Very good",5,""))))))</x:f>
      </x:c>
      <x:c r="BK40" s="8"/>
    </x:row>
    <x:row r="41"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  <x:c r="AA41" s="8"/>
      <x:c r="AB41" s="8"/>
      <x:c r="AC41" s="8"/>
      <x:c r="AD41" s="8"/>
      <x:c r="AE41" s="8"/>
      <x:c r="AF41" s="8"/>
      <x:c r="AG41" s="8"/>
      <x:c r="AH41" s="8"/>
      <x:c r="AI41" s="8"/>
      <x:c r="AJ41" s="8"/>
      <x:c r="AK41" s="8"/>
      <x:c r="AL41" s="8"/>
      <x:c r="AM41" s="8"/>
      <x:c r="AN41" s="8"/>
      <x:c r="AO41" s="8"/>
      <x:c r="AP41" s="8"/>
      <x:c r="AQ41" s="8"/>
      <x:c r="AR41" s="8"/>
      <x:c r="AS41" s="8"/>
      <x:c r="AT41" s="8"/>
      <x:c r="AU41" s="8"/>
      <x:c r="AV41" s="8"/>
      <x:c r="AW41" s="8"/>
      <x:c r="AX41" s="8"/>
      <x:c r="AY41" s="8"/>
      <x:c r="AZ41" s="8" t="str">
        <x:f>IF(G41="","",IF(G41="Very poor",1,IF(G41="Poor",2,IF(G41="Average",3,IF(G41="Good",4,IF(G41="Very good",5,""))))))</x:f>
      </x:c>
      <x:c r="BA41" s="8" t="str">
        <x:f>IF(I41="","",IF(I41="Very poor",1,IF(I41="Poor",2,IF(I41="Average",3,IF(I41="Good",4,IF(I41="Very good",5,""))))))</x:f>
      </x:c>
      <x:c r="BB41" s="8" t="str">
        <x:f>IF(J41="","",IF(J41="Very poor",1,IF(J41="Poor",2,IF(J41="Average",3,IF(J41="Good",4,IF(J41="Very good",5,""))))))</x:f>
      </x:c>
      <x:c r="BC41" s="8" t="str">
        <x:f>IF(Q41="","",IF(Q41="Very poor",1,IF(Q41="Poor",2,IF(Q41="Average",3,IF(Q41="Effective",4,IF(Q41="Very effective",5,""))))))</x:f>
      </x:c>
      <x:c r="BD41" s="8" t="str">
        <x:f>IF(S41="","",IF(S41="Never",1,IF(S41="Rarely",2,IF(S41="Sometimes",3,IF(S41="Often",4,IF(S41="Always",5,""))))))</x:f>
      </x:c>
      <x:c r="BE41" s="8" t="str">
        <x:f>IF(U41="","",IF(U41="Very poor",1,IF(U41="Poor",2,IF(U41="Average",3,IF(U41="Good",4,IF(U41="Very good",5,""))))))</x:f>
      </x:c>
      <x:c r="BF41" s="8" t="str">
        <x:f>IF(V41="","",IF(V41="Very poor",1,IF(V41="Poor",2,IF(V41="Average",3,IF(V41="Good",4,IF(V41="Very good",5,""))))))</x:f>
      </x:c>
      <x:c r="BG41" s="8" t="str">
        <x:f>IF(AB41="","",IF(AB41="Never",1,IF(AB41="Rarely",2,IF(AB41="Sometimes",3,IF(AB41="Often",4,IF(AB41="Always",5,""))))))</x:f>
      </x:c>
      <x:c r="BH41" s="8" t="str">
        <x:f>IF(AF41="","",IF(AF41="Very poor",1,IF(AF41="Poor",2,IF(AF41="Average",3,IF(AF41="Good",4,IF(AF41="Very good",5,""))))))</x:f>
      </x:c>
      <x:c r="BI41" s="8" t="str">
        <x:f>IF(AK41="","",IF(AK41="Very poor",1,IF(AK41="Poor",2,IF(AK41="Average",3,IF(AK41="Good",4,IF(AK41="Very good",5,""))))))</x:f>
      </x:c>
      <x:c r="BJ41" s="8" t="str">
        <x:f>IF(AT41="","",IF(AT41="Very poor",1,IF(AT41="Poor",2,IF(AT41="Average",3,IF(AT41="Good",4,IF(AT41="Very good",5,""))))))</x:f>
      </x:c>
      <x:c r="BK41" s="8"/>
    </x:row>
    <x:row r="42"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  <x:c r="AA42" s="8"/>
      <x:c r="AB42" s="8"/>
      <x:c r="AC42" s="8"/>
      <x:c r="AD42" s="8"/>
      <x:c r="AE42" s="8"/>
      <x:c r="AF42" s="8"/>
      <x:c r="AG42" s="8"/>
      <x:c r="AH42" s="8"/>
      <x:c r="AI42" s="8"/>
      <x:c r="AJ42" s="8"/>
      <x:c r="AK42" s="8"/>
      <x:c r="AL42" s="8"/>
      <x:c r="AM42" s="8"/>
      <x:c r="AN42" s="8"/>
      <x:c r="AO42" s="8"/>
      <x:c r="AP42" s="8"/>
      <x:c r="AQ42" s="8"/>
      <x:c r="AR42" s="8"/>
      <x:c r="AS42" s="8"/>
      <x:c r="AT42" s="8"/>
      <x:c r="AU42" s="8"/>
      <x:c r="AV42" s="8"/>
      <x:c r="AW42" s="8"/>
      <x:c r="AX42" s="8"/>
      <x:c r="AY42" s="8"/>
      <x:c r="AZ42" s="8" t="str">
        <x:f>IF(G42="","",IF(G42="Very poor",1,IF(G42="Poor",2,IF(G42="Average",3,IF(G42="Good",4,IF(G42="Very good",5,""))))))</x:f>
      </x:c>
      <x:c r="BA42" s="8" t="str">
        <x:f>IF(I42="","",IF(I42="Very poor",1,IF(I42="Poor",2,IF(I42="Average",3,IF(I42="Good",4,IF(I42="Very good",5,""))))))</x:f>
      </x:c>
      <x:c r="BB42" s="8" t="str">
        <x:f>IF(J42="","",IF(J42="Very poor",1,IF(J42="Poor",2,IF(J42="Average",3,IF(J42="Good",4,IF(J42="Very good",5,""))))))</x:f>
      </x:c>
      <x:c r="BC42" s="8" t="str">
        <x:f>IF(Q42="","",IF(Q42="Very poor",1,IF(Q42="Poor",2,IF(Q42="Average",3,IF(Q42="Effective",4,IF(Q42="Very effective",5,""))))))</x:f>
      </x:c>
      <x:c r="BD42" s="8" t="str">
        <x:f>IF(S42="","",IF(S42="Never",1,IF(S42="Rarely",2,IF(S42="Sometimes",3,IF(S42="Often",4,IF(S42="Always",5,""))))))</x:f>
      </x:c>
      <x:c r="BE42" s="8" t="str">
        <x:f>IF(U42="","",IF(U42="Very poor",1,IF(U42="Poor",2,IF(U42="Average",3,IF(U42="Good",4,IF(U42="Very good",5,""))))))</x:f>
      </x:c>
      <x:c r="BF42" s="8" t="str">
        <x:f>IF(V42="","",IF(V42="Very poor",1,IF(V42="Poor",2,IF(V42="Average",3,IF(V42="Good",4,IF(V42="Very good",5,""))))))</x:f>
      </x:c>
      <x:c r="BG42" s="8" t="str">
        <x:f>IF(AB42="","",IF(AB42="Never",1,IF(AB42="Rarely",2,IF(AB42="Sometimes",3,IF(AB42="Often",4,IF(AB42="Always",5,""))))))</x:f>
      </x:c>
      <x:c r="BH42" s="8" t="str">
        <x:f>IF(AF42="","",IF(AF42="Very poor",1,IF(AF42="Poor",2,IF(AF42="Average",3,IF(AF42="Good",4,IF(AF42="Very good",5,""))))))</x:f>
      </x:c>
      <x:c r="BI42" s="8" t="str">
        <x:f>IF(AK42="","",IF(AK42="Very poor",1,IF(AK42="Poor",2,IF(AK42="Average",3,IF(AK42="Good",4,IF(AK42="Very good",5,""))))))</x:f>
      </x:c>
      <x:c r="BJ42" s="8" t="str">
        <x:f>IF(AT42="","",IF(AT42="Very poor",1,IF(AT42="Poor",2,IF(AT42="Average",3,IF(AT42="Good",4,IF(AT42="Very good",5,""))))))</x:f>
      </x:c>
      <x:c r="BK42" s="8"/>
    </x:row>
    <x:row r="43"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  <x:c r="AA43" s="8"/>
      <x:c r="AB43" s="8"/>
      <x:c r="AC43" s="8"/>
      <x:c r="AD43" s="8"/>
      <x:c r="AE43" s="8"/>
      <x:c r="AF43" s="8"/>
      <x:c r="AG43" s="8"/>
      <x:c r="AH43" s="8"/>
      <x:c r="AI43" s="8"/>
      <x:c r="AJ43" s="8"/>
      <x:c r="AK43" s="8"/>
      <x:c r="AL43" s="8"/>
      <x:c r="AM43" s="8"/>
      <x:c r="AN43" s="8"/>
      <x:c r="AO43" s="8"/>
      <x:c r="AP43" s="8"/>
      <x:c r="AQ43" s="8"/>
      <x:c r="AR43" s="8"/>
      <x:c r="AS43" s="8"/>
      <x:c r="AT43" s="8"/>
      <x:c r="AU43" s="8"/>
      <x:c r="AV43" s="8"/>
      <x:c r="AW43" s="8"/>
      <x:c r="AX43" s="8"/>
      <x:c r="AY43" s="8"/>
      <x:c r="AZ43" s="8" t="str">
        <x:f>IF(G43="","",IF(G43="Very poor",1,IF(G43="Poor",2,IF(G43="Average",3,IF(G43="Good",4,IF(G43="Very good",5,""))))))</x:f>
      </x:c>
      <x:c r="BA43" s="8" t="str">
        <x:f>IF(I43="","",IF(I43="Very poor",1,IF(I43="Poor",2,IF(I43="Average",3,IF(I43="Good",4,IF(I43="Very good",5,""))))))</x:f>
      </x:c>
      <x:c r="BB43" s="8" t="str">
        <x:f>IF(J43="","",IF(J43="Very poor",1,IF(J43="Poor",2,IF(J43="Average",3,IF(J43="Good",4,IF(J43="Very good",5,""))))))</x:f>
      </x:c>
      <x:c r="BC43" s="8" t="str">
        <x:f>IF(Q43="","",IF(Q43="Very poor",1,IF(Q43="Poor",2,IF(Q43="Average",3,IF(Q43="Effective",4,IF(Q43="Very effective",5,""))))))</x:f>
      </x:c>
      <x:c r="BD43" s="8" t="str">
        <x:f>IF(S43="","",IF(S43="Never",1,IF(S43="Rarely",2,IF(S43="Sometimes",3,IF(S43="Often",4,IF(S43="Always",5,""))))))</x:f>
      </x:c>
      <x:c r="BE43" s="8" t="str">
        <x:f>IF(U43="","",IF(U43="Very poor",1,IF(U43="Poor",2,IF(U43="Average",3,IF(U43="Good",4,IF(U43="Very good",5,""))))))</x:f>
      </x:c>
      <x:c r="BF43" s="8" t="str">
        <x:f>IF(V43="","",IF(V43="Very poor",1,IF(V43="Poor",2,IF(V43="Average",3,IF(V43="Good",4,IF(V43="Very good",5,""))))))</x:f>
      </x:c>
      <x:c r="BG43" s="8" t="str">
        <x:f>IF(AB43="","",IF(AB43="Never",1,IF(AB43="Rarely",2,IF(AB43="Sometimes",3,IF(AB43="Often",4,IF(AB43="Always",5,""))))))</x:f>
      </x:c>
      <x:c r="BH43" s="8" t="str">
        <x:f>IF(AF43="","",IF(AF43="Very poor",1,IF(AF43="Poor",2,IF(AF43="Average",3,IF(AF43="Good",4,IF(AF43="Very good",5,""))))))</x:f>
      </x:c>
      <x:c r="BI43" s="8" t="str">
        <x:f>IF(AK43="","",IF(AK43="Very poor",1,IF(AK43="Poor",2,IF(AK43="Average",3,IF(AK43="Good",4,IF(AK43="Very good",5,""))))))</x:f>
      </x:c>
      <x:c r="BJ43" s="8" t="str">
        <x:f>IF(AT43="","",IF(AT43="Very poor",1,IF(AT43="Poor",2,IF(AT43="Average",3,IF(AT43="Good",4,IF(AT43="Very good",5,""))))))</x:f>
      </x:c>
      <x:c r="BK43" s="8"/>
    </x:row>
    <x:row r="44"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  <x:c r="AA44" s="8"/>
      <x:c r="AB44" s="8"/>
      <x:c r="AC44" s="8"/>
      <x:c r="AD44" s="8"/>
      <x:c r="AE44" s="8"/>
      <x:c r="AF44" s="8"/>
      <x:c r="AG44" s="8"/>
      <x:c r="AH44" s="8"/>
      <x:c r="AI44" s="8"/>
      <x:c r="AJ44" s="8"/>
      <x:c r="AK44" s="8"/>
      <x:c r="AL44" s="8"/>
      <x:c r="AM44" s="8"/>
      <x:c r="AN44" s="8"/>
      <x:c r="AO44" s="8"/>
      <x:c r="AP44" s="8"/>
      <x:c r="AQ44" s="8"/>
      <x:c r="AR44" s="8"/>
      <x:c r="AS44" s="8"/>
      <x:c r="AT44" s="8"/>
      <x:c r="AU44" s="8"/>
      <x:c r="AV44" s="8"/>
      <x:c r="AW44" s="8"/>
      <x:c r="AX44" s="8"/>
      <x:c r="AY44" s="8"/>
      <x:c r="AZ44" s="8" t="str">
        <x:f>IF(G44="","",IF(G44="Very poor",1,IF(G44="Poor",2,IF(G44="Average",3,IF(G44="Good",4,IF(G44="Very good",5,""))))))</x:f>
      </x:c>
      <x:c r="BA44" s="8" t="str">
        <x:f>IF(I44="","",IF(I44="Very poor",1,IF(I44="Poor",2,IF(I44="Average",3,IF(I44="Good",4,IF(I44="Very good",5,""))))))</x:f>
      </x:c>
      <x:c r="BB44" s="8" t="str">
        <x:f>IF(J44="","",IF(J44="Very poor",1,IF(J44="Poor",2,IF(J44="Average",3,IF(J44="Good",4,IF(J44="Very good",5,""))))))</x:f>
      </x:c>
      <x:c r="BC44" s="8" t="str">
        <x:f>IF(Q44="","",IF(Q44="Very poor",1,IF(Q44="Poor",2,IF(Q44="Average",3,IF(Q44="Effective",4,IF(Q44="Very effective",5,""))))))</x:f>
      </x:c>
      <x:c r="BD44" s="8" t="str">
        <x:f>IF(S44="","",IF(S44="Never",1,IF(S44="Rarely",2,IF(S44="Sometimes",3,IF(S44="Often",4,IF(S44="Always",5,""))))))</x:f>
      </x:c>
      <x:c r="BE44" s="8" t="str">
        <x:f>IF(U44="","",IF(U44="Very poor",1,IF(U44="Poor",2,IF(U44="Average",3,IF(U44="Good",4,IF(U44="Very good",5,""))))))</x:f>
      </x:c>
      <x:c r="BF44" s="8" t="str">
        <x:f>IF(V44="","",IF(V44="Very poor",1,IF(V44="Poor",2,IF(V44="Average",3,IF(V44="Good",4,IF(V44="Very good",5,""))))))</x:f>
      </x:c>
      <x:c r="BG44" s="8" t="str">
        <x:f>IF(AB44="","",IF(AB44="Never",1,IF(AB44="Rarely",2,IF(AB44="Sometimes",3,IF(AB44="Often",4,IF(AB44="Always",5,""))))))</x:f>
      </x:c>
      <x:c r="BH44" s="8" t="str">
        <x:f>IF(AF44="","",IF(AF44="Very poor",1,IF(AF44="Poor",2,IF(AF44="Average",3,IF(AF44="Good",4,IF(AF44="Very good",5,""))))))</x:f>
      </x:c>
      <x:c r="BI44" s="8" t="str">
        <x:f>IF(AK44="","",IF(AK44="Very poor",1,IF(AK44="Poor",2,IF(AK44="Average",3,IF(AK44="Good",4,IF(AK44="Very good",5,""))))))</x:f>
      </x:c>
      <x:c r="BJ44" s="8" t="str">
        <x:f>IF(AT44="","",IF(AT44="Very poor",1,IF(AT44="Poor",2,IF(AT44="Average",3,IF(AT44="Good",4,IF(AT44="Very good",5,""))))))</x:f>
      </x:c>
      <x:c r="BK44" s="8"/>
    </x:row>
    <x:row r="45"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  <x:c r="AA45" s="8"/>
      <x:c r="AB45" s="8"/>
      <x:c r="AC45" s="8"/>
      <x:c r="AD45" s="8"/>
      <x:c r="AE45" s="8"/>
      <x:c r="AF45" s="8"/>
      <x:c r="AG45" s="8"/>
      <x:c r="AH45" s="8"/>
      <x:c r="AI45" s="8"/>
      <x:c r="AJ45" s="8"/>
      <x:c r="AK45" s="8"/>
      <x:c r="AL45" s="8"/>
      <x:c r="AM45" s="8"/>
      <x:c r="AN45" s="8"/>
      <x:c r="AO45" s="8"/>
      <x:c r="AP45" s="8"/>
      <x:c r="AQ45" s="8"/>
      <x:c r="AR45" s="8"/>
      <x:c r="AS45" s="8"/>
      <x:c r="AT45" s="8"/>
      <x:c r="AU45" s="8"/>
      <x:c r="AV45" s="8"/>
      <x:c r="AW45" s="8"/>
      <x:c r="AX45" s="8"/>
      <x:c r="AY45" s="8"/>
      <x:c r="AZ45" s="8" t="str">
        <x:f>IF(G45="","",IF(G45="Very poor",1,IF(G45="Poor",2,IF(G45="Average",3,IF(G45="Good",4,IF(G45="Very good",5,""))))))</x:f>
      </x:c>
      <x:c r="BA45" s="8" t="str">
        <x:f>IF(I45="","",IF(I45="Very poor",1,IF(I45="Poor",2,IF(I45="Average",3,IF(I45="Good",4,IF(I45="Very good",5,""))))))</x:f>
      </x:c>
      <x:c r="BB45" s="8" t="str">
        <x:f>IF(J45="","",IF(J45="Very poor",1,IF(J45="Poor",2,IF(J45="Average",3,IF(J45="Good",4,IF(J45="Very good",5,""))))))</x:f>
      </x:c>
      <x:c r="BC45" s="8" t="str">
        <x:f>IF(Q45="","",IF(Q45="Very poor",1,IF(Q45="Poor",2,IF(Q45="Average",3,IF(Q45="Effective",4,IF(Q45="Very effective",5,""))))))</x:f>
      </x:c>
      <x:c r="BD45" s="8" t="str">
        <x:f>IF(S45="","",IF(S45="Never",1,IF(S45="Rarely",2,IF(S45="Sometimes",3,IF(S45="Often",4,IF(S45="Always",5,""))))))</x:f>
      </x:c>
      <x:c r="BE45" s="8" t="str">
        <x:f>IF(U45="","",IF(U45="Very poor",1,IF(U45="Poor",2,IF(U45="Average",3,IF(U45="Good",4,IF(U45="Very good",5,""))))))</x:f>
      </x:c>
      <x:c r="BF45" s="8" t="str">
        <x:f>IF(V45="","",IF(V45="Very poor",1,IF(V45="Poor",2,IF(V45="Average",3,IF(V45="Good",4,IF(V45="Very good",5,""))))))</x:f>
      </x:c>
      <x:c r="BG45" s="8" t="str">
        <x:f>IF(AB45="","",IF(AB45="Never",1,IF(AB45="Rarely",2,IF(AB45="Sometimes",3,IF(AB45="Often",4,IF(AB45="Always",5,""))))))</x:f>
      </x:c>
      <x:c r="BH45" s="8" t="str">
        <x:f>IF(AF45="","",IF(AF45="Very poor",1,IF(AF45="Poor",2,IF(AF45="Average",3,IF(AF45="Good",4,IF(AF45="Very good",5,""))))))</x:f>
      </x:c>
      <x:c r="BI45" s="8" t="str">
        <x:f>IF(AK45="","",IF(AK45="Very poor",1,IF(AK45="Poor",2,IF(AK45="Average",3,IF(AK45="Good",4,IF(AK45="Very good",5,""))))))</x:f>
      </x:c>
      <x:c r="BJ45" s="8" t="str">
        <x:f>IF(AT45="","",IF(AT45="Very poor",1,IF(AT45="Poor",2,IF(AT45="Average",3,IF(AT45="Good",4,IF(AT45="Very good",5,""))))))</x:f>
      </x:c>
      <x:c r="BK45" s="8"/>
    </x:row>
    <x:row r="46"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  <x:c r="AA46" s="8"/>
      <x:c r="AB46" s="8"/>
      <x:c r="AC46" s="8"/>
      <x:c r="AD46" s="8"/>
      <x:c r="AE46" s="8"/>
      <x:c r="AF46" s="8"/>
      <x:c r="AG46" s="8"/>
      <x:c r="AH46" s="8"/>
      <x:c r="AI46" s="8"/>
      <x:c r="AJ46" s="8"/>
      <x:c r="AK46" s="8"/>
      <x:c r="AL46" s="8"/>
      <x:c r="AM46" s="8"/>
      <x:c r="AN46" s="8"/>
      <x:c r="AO46" s="8"/>
      <x:c r="AP46" s="8"/>
      <x:c r="AQ46" s="8"/>
      <x:c r="AR46" s="8"/>
      <x:c r="AS46" s="8"/>
      <x:c r="AT46" s="8"/>
      <x:c r="AU46" s="8"/>
      <x:c r="AV46" s="8"/>
      <x:c r="AW46" s="8"/>
      <x:c r="AX46" s="8"/>
      <x:c r="AY46" s="8"/>
      <x:c r="AZ46" s="8" t="str">
        <x:f>IF(G46="","",IF(G46="Very poor",1,IF(G46="Poor",2,IF(G46="Average",3,IF(G46="Good",4,IF(G46="Very good",5,""))))))</x:f>
      </x:c>
      <x:c r="BA46" s="8" t="str">
        <x:f>IF(I46="","",IF(I46="Very poor",1,IF(I46="Poor",2,IF(I46="Average",3,IF(I46="Good",4,IF(I46="Very good",5,""))))))</x:f>
      </x:c>
      <x:c r="BB46" s="8" t="str">
        <x:f>IF(J46="","",IF(J46="Very poor",1,IF(J46="Poor",2,IF(J46="Average",3,IF(J46="Good",4,IF(J46="Very good",5,""))))))</x:f>
      </x:c>
      <x:c r="BC46" s="8" t="str">
        <x:f>IF(Q46="","",IF(Q46="Very poor",1,IF(Q46="Poor",2,IF(Q46="Average",3,IF(Q46="Effective",4,IF(Q46="Very effective",5,""))))))</x:f>
      </x:c>
      <x:c r="BD46" s="8" t="str">
        <x:f>IF(S46="","",IF(S46="Never",1,IF(S46="Rarely",2,IF(S46="Sometimes",3,IF(S46="Often",4,IF(S46="Always",5,""))))))</x:f>
      </x:c>
      <x:c r="BE46" s="8" t="str">
        <x:f>IF(U46="","",IF(U46="Very poor",1,IF(U46="Poor",2,IF(U46="Average",3,IF(U46="Good",4,IF(U46="Very good",5,""))))))</x:f>
      </x:c>
      <x:c r="BF46" s="8" t="str">
        <x:f>IF(V46="","",IF(V46="Very poor",1,IF(V46="Poor",2,IF(V46="Average",3,IF(V46="Good",4,IF(V46="Very good",5,""))))))</x:f>
      </x:c>
      <x:c r="BG46" s="8" t="str">
        <x:f>IF(AB46="","",IF(AB46="Never",1,IF(AB46="Rarely",2,IF(AB46="Sometimes",3,IF(AB46="Often",4,IF(AB46="Always",5,""))))))</x:f>
      </x:c>
      <x:c r="BH46" s="8" t="str">
        <x:f>IF(AF46="","",IF(AF46="Very poor",1,IF(AF46="Poor",2,IF(AF46="Average",3,IF(AF46="Good",4,IF(AF46="Very good",5,""))))))</x:f>
      </x:c>
      <x:c r="BI46" s="8" t="str">
        <x:f>IF(AK46="","",IF(AK46="Very poor",1,IF(AK46="Poor",2,IF(AK46="Average",3,IF(AK46="Good",4,IF(AK46="Very good",5,""))))))</x:f>
      </x:c>
      <x:c r="BJ46" s="8" t="str">
        <x:f>IF(AT46="","",IF(AT46="Very poor",1,IF(AT46="Poor",2,IF(AT46="Average",3,IF(AT46="Good",4,IF(AT46="Very good",5,""))))))</x:f>
      </x:c>
      <x:c r="BK46" s="8"/>
    </x:row>
    <x:row r="47"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  <x:c r="AA47" s="8"/>
      <x:c r="AB47" s="8"/>
      <x:c r="AC47" s="8"/>
      <x:c r="AD47" s="8"/>
      <x:c r="AE47" s="8"/>
      <x:c r="AF47" s="8"/>
      <x:c r="AG47" s="8"/>
      <x:c r="AH47" s="8"/>
      <x:c r="AI47" s="8"/>
      <x:c r="AJ47" s="8"/>
      <x:c r="AK47" s="8"/>
      <x:c r="AL47" s="8"/>
      <x:c r="AM47" s="8"/>
      <x:c r="AN47" s="8"/>
      <x:c r="AO47" s="8"/>
      <x:c r="AP47" s="8"/>
      <x:c r="AQ47" s="8"/>
      <x:c r="AR47" s="8"/>
      <x:c r="AS47" s="8"/>
      <x:c r="AT47" s="8"/>
      <x:c r="AU47" s="8"/>
      <x:c r="AV47" s="8"/>
      <x:c r="AW47" s="8"/>
      <x:c r="AX47" s="8"/>
      <x:c r="AY47" s="8"/>
      <x:c r="AZ47" s="8" t="str">
        <x:f>IF(G47="","",IF(G47="Very poor",1,IF(G47="Poor",2,IF(G47="Average",3,IF(G47="Good",4,IF(G47="Very good",5,""))))))</x:f>
      </x:c>
      <x:c r="BA47" s="8" t="str">
        <x:f>IF(I47="","",IF(I47="Very poor",1,IF(I47="Poor",2,IF(I47="Average",3,IF(I47="Good",4,IF(I47="Very good",5,""))))))</x:f>
      </x:c>
      <x:c r="BB47" s="8" t="str">
        <x:f>IF(J47="","",IF(J47="Very poor",1,IF(J47="Poor",2,IF(J47="Average",3,IF(J47="Good",4,IF(J47="Very good",5,""))))))</x:f>
      </x:c>
      <x:c r="BC47" s="8" t="str">
        <x:f>IF(Q47="","",IF(Q47="Very poor",1,IF(Q47="Poor",2,IF(Q47="Average",3,IF(Q47="Effective",4,IF(Q47="Very effective",5,""))))))</x:f>
      </x:c>
      <x:c r="BD47" s="8" t="str">
        <x:f>IF(S47="","",IF(S47="Never",1,IF(S47="Rarely",2,IF(S47="Sometimes",3,IF(S47="Often",4,IF(S47="Always",5,""))))))</x:f>
      </x:c>
      <x:c r="BE47" s="8" t="str">
        <x:f>IF(U47="","",IF(U47="Very poor",1,IF(U47="Poor",2,IF(U47="Average",3,IF(U47="Good",4,IF(U47="Very good",5,""))))))</x:f>
      </x:c>
      <x:c r="BF47" s="8" t="str">
        <x:f>IF(V47="","",IF(V47="Very poor",1,IF(V47="Poor",2,IF(V47="Average",3,IF(V47="Good",4,IF(V47="Very good",5,""))))))</x:f>
      </x:c>
      <x:c r="BG47" s="8" t="str">
        <x:f>IF(AB47="","",IF(AB47="Never",1,IF(AB47="Rarely",2,IF(AB47="Sometimes",3,IF(AB47="Often",4,IF(AB47="Always",5,""))))))</x:f>
      </x:c>
      <x:c r="BH47" s="8" t="str">
        <x:f>IF(AF47="","",IF(AF47="Very poor",1,IF(AF47="Poor",2,IF(AF47="Average",3,IF(AF47="Good",4,IF(AF47="Very good",5,""))))))</x:f>
      </x:c>
      <x:c r="BI47" s="8" t="str">
        <x:f>IF(AK47="","",IF(AK47="Very poor",1,IF(AK47="Poor",2,IF(AK47="Average",3,IF(AK47="Good",4,IF(AK47="Very good",5,""))))))</x:f>
      </x:c>
      <x:c r="BJ47" s="8" t="str">
        <x:f>IF(AT47="","",IF(AT47="Very poor",1,IF(AT47="Poor",2,IF(AT47="Average",3,IF(AT47="Good",4,IF(AT47="Very good",5,""))))))</x:f>
      </x:c>
      <x:c r="BK47" s="8"/>
    </x:row>
    <x:row r="48"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  <x:c r="AA48" s="8"/>
      <x:c r="AB48" s="8"/>
      <x:c r="AC48" s="8"/>
      <x:c r="AD48" s="8"/>
      <x:c r="AE48" s="8"/>
      <x:c r="AF48" s="8"/>
      <x:c r="AG48" s="8"/>
      <x:c r="AH48" s="8"/>
      <x:c r="AI48" s="8"/>
      <x:c r="AJ48" s="8"/>
      <x:c r="AK48" s="8"/>
      <x:c r="AL48" s="8"/>
      <x:c r="AM48" s="8"/>
      <x:c r="AN48" s="8"/>
      <x:c r="AO48" s="8"/>
      <x:c r="AP48" s="8"/>
      <x:c r="AQ48" s="8"/>
      <x:c r="AR48" s="8"/>
      <x:c r="AS48" s="8"/>
      <x:c r="AT48" s="8"/>
      <x:c r="AU48" s="8"/>
      <x:c r="AV48" s="8"/>
      <x:c r="AW48" s="8"/>
      <x:c r="AX48" s="8"/>
      <x:c r="AY48" s="8"/>
      <x:c r="AZ48" s="8" t="str">
        <x:f>IF(G48="","",IF(G48="Very poor",1,IF(G48="Poor",2,IF(G48="Average",3,IF(G48="Good",4,IF(G48="Very good",5,""))))))</x:f>
      </x:c>
      <x:c r="BA48" s="8" t="str">
        <x:f>IF(I48="","",IF(I48="Very poor",1,IF(I48="Poor",2,IF(I48="Average",3,IF(I48="Good",4,IF(I48="Very good",5,""))))))</x:f>
      </x:c>
      <x:c r="BB48" s="8" t="str">
        <x:f>IF(J48="","",IF(J48="Very poor",1,IF(J48="Poor",2,IF(J48="Average",3,IF(J48="Good",4,IF(J48="Very good",5,""))))))</x:f>
      </x:c>
      <x:c r="BC48" s="8" t="str">
        <x:f>IF(Q48="","",IF(Q48="Very poor",1,IF(Q48="Poor",2,IF(Q48="Average",3,IF(Q48="Effective",4,IF(Q48="Very effective",5,""))))))</x:f>
      </x:c>
      <x:c r="BD48" s="8" t="str">
        <x:f>IF(S48="","",IF(S48="Never",1,IF(S48="Rarely",2,IF(S48="Sometimes",3,IF(S48="Often",4,IF(S48="Always",5,""))))))</x:f>
      </x:c>
      <x:c r="BE48" s="8" t="str">
        <x:f>IF(U48="","",IF(U48="Very poor",1,IF(U48="Poor",2,IF(U48="Average",3,IF(U48="Good",4,IF(U48="Very good",5,""))))))</x:f>
      </x:c>
      <x:c r="BF48" s="8" t="str">
        <x:f>IF(V48="","",IF(V48="Very poor",1,IF(V48="Poor",2,IF(V48="Average",3,IF(V48="Good",4,IF(V48="Very good",5,""))))))</x:f>
      </x:c>
      <x:c r="BG48" s="8" t="str">
        <x:f>IF(AB48="","",IF(AB48="Never",1,IF(AB48="Rarely",2,IF(AB48="Sometimes",3,IF(AB48="Often",4,IF(AB48="Always",5,""))))))</x:f>
      </x:c>
      <x:c r="BH48" s="8" t="str">
        <x:f>IF(AF48="","",IF(AF48="Very poor",1,IF(AF48="Poor",2,IF(AF48="Average",3,IF(AF48="Good",4,IF(AF48="Very good",5,""))))))</x:f>
      </x:c>
      <x:c r="BI48" s="8" t="str">
        <x:f>IF(AK48="","",IF(AK48="Very poor",1,IF(AK48="Poor",2,IF(AK48="Average",3,IF(AK48="Good",4,IF(AK48="Very good",5,""))))))</x:f>
      </x:c>
      <x:c r="BJ48" s="8" t="str">
        <x:f>IF(AT48="","",IF(AT48="Very poor",1,IF(AT48="Poor",2,IF(AT48="Average",3,IF(AT48="Good",4,IF(AT48="Very good",5,""))))))</x:f>
      </x:c>
      <x:c r="BK48" s="8"/>
    </x:row>
    <x:row r="49"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  <x:c r="AA49" s="8"/>
      <x:c r="AB49" s="8"/>
      <x:c r="AC49" s="8"/>
      <x:c r="AD49" s="8"/>
      <x:c r="AE49" s="8"/>
      <x:c r="AF49" s="8"/>
      <x:c r="AG49" s="8"/>
      <x:c r="AH49" s="8"/>
      <x:c r="AI49" s="8"/>
      <x:c r="AJ49" s="8"/>
      <x:c r="AK49" s="8"/>
      <x:c r="AL49" s="8"/>
      <x:c r="AM49" s="8"/>
      <x:c r="AN49" s="8"/>
      <x:c r="AO49" s="8"/>
      <x:c r="AP49" s="8"/>
      <x:c r="AQ49" s="8"/>
      <x:c r="AR49" s="8"/>
      <x:c r="AS49" s="8"/>
      <x:c r="AT49" s="8"/>
      <x:c r="AU49" s="8"/>
      <x:c r="AV49" s="8"/>
      <x:c r="AW49" s="8"/>
      <x:c r="AX49" s="8"/>
      <x:c r="AY49" s="8"/>
      <x:c r="AZ49" s="8" t="str">
        <x:f>IF(G49="","",IF(G49="Very poor",1,IF(G49="Poor",2,IF(G49="Average",3,IF(G49="Good",4,IF(G49="Very good",5,""))))))</x:f>
      </x:c>
      <x:c r="BA49" s="8" t="str">
        <x:f>IF(I49="","",IF(I49="Very poor",1,IF(I49="Poor",2,IF(I49="Average",3,IF(I49="Good",4,IF(I49="Very good",5,""))))))</x:f>
      </x:c>
      <x:c r="BB49" s="8" t="str">
        <x:f>IF(J49="","",IF(J49="Very poor",1,IF(J49="Poor",2,IF(J49="Average",3,IF(J49="Good",4,IF(J49="Very good",5,""))))))</x:f>
      </x:c>
      <x:c r="BC49" s="8" t="str">
        <x:f>IF(Q49="","",IF(Q49="Very poor",1,IF(Q49="Poor",2,IF(Q49="Average",3,IF(Q49="Effective",4,IF(Q49="Very effective",5,""))))))</x:f>
      </x:c>
      <x:c r="BD49" s="8" t="str">
        <x:f>IF(S49="","",IF(S49="Never",1,IF(S49="Rarely",2,IF(S49="Sometimes",3,IF(S49="Often",4,IF(S49="Always",5,""))))))</x:f>
      </x:c>
      <x:c r="BE49" s="8" t="str">
        <x:f>IF(U49="","",IF(U49="Very poor",1,IF(U49="Poor",2,IF(U49="Average",3,IF(U49="Good",4,IF(U49="Very good",5,""))))))</x:f>
      </x:c>
      <x:c r="BF49" s="8" t="str">
        <x:f>IF(V49="","",IF(V49="Very poor",1,IF(V49="Poor",2,IF(V49="Average",3,IF(V49="Good",4,IF(V49="Very good",5,""))))))</x:f>
      </x:c>
      <x:c r="BG49" s="8" t="str">
        <x:f>IF(AB49="","",IF(AB49="Never",1,IF(AB49="Rarely",2,IF(AB49="Sometimes",3,IF(AB49="Often",4,IF(AB49="Always",5,""))))))</x:f>
      </x:c>
      <x:c r="BH49" s="8" t="str">
        <x:f>IF(AF49="","",IF(AF49="Very poor",1,IF(AF49="Poor",2,IF(AF49="Average",3,IF(AF49="Good",4,IF(AF49="Very good",5,""))))))</x:f>
      </x:c>
      <x:c r="BI49" s="8" t="str">
        <x:f>IF(AK49="","",IF(AK49="Very poor",1,IF(AK49="Poor",2,IF(AK49="Average",3,IF(AK49="Good",4,IF(AK49="Very good",5,""))))))</x:f>
      </x:c>
      <x:c r="BJ49" s="8" t="str">
        <x:f>IF(AT49="","",IF(AT49="Very poor",1,IF(AT49="Poor",2,IF(AT49="Average",3,IF(AT49="Good",4,IF(AT49="Very good",5,""))))))</x:f>
      </x:c>
      <x:c r="BK49" s="8"/>
    </x:row>
    <x:row r="50"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  <x:c r="AA50" s="8"/>
      <x:c r="AB50" s="8"/>
      <x:c r="AC50" s="8"/>
      <x:c r="AD50" s="8"/>
      <x:c r="AE50" s="8"/>
      <x:c r="AF50" s="8"/>
      <x:c r="AG50" s="8"/>
      <x:c r="AH50" s="8"/>
      <x:c r="AI50" s="8"/>
      <x:c r="AJ50" s="8"/>
      <x:c r="AK50" s="8"/>
      <x:c r="AL50" s="8"/>
      <x:c r="AM50" s="8"/>
      <x:c r="AN50" s="8"/>
      <x:c r="AO50" s="8"/>
      <x:c r="AP50" s="8"/>
      <x:c r="AQ50" s="8"/>
      <x:c r="AR50" s="8"/>
      <x:c r="AS50" s="8"/>
      <x:c r="AT50" s="8"/>
      <x:c r="AU50" s="8"/>
      <x:c r="AV50" s="8"/>
      <x:c r="AW50" s="8"/>
      <x:c r="AX50" s="8"/>
      <x:c r="AY50" s="8"/>
      <x:c r="AZ50" s="8" t="str">
        <x:f>IF(G50="","",IF(G50="Very poor",1,IF(G50="Poor",2,IF(G50="Average",3,IF(G50="Good",4,IF(G50="Very good",5,""))))))</x:f>
      </x:c>
      <x:c r="BA50" s="8" t="str">
        <x:f>IF(I50="","",IF(I50="Very poor",1,IF(I50="Poor",2,IF(I50="Average",3,IF(I50="Good",4,IF(I50="Very good",5,""))))))</x:f>
      </x:c>
      <x:c r="BB50" s="8" t="str">
        <x:f>IF(J50="","",IF(J50="Very poor",1,IF(J50="Poor",2,IF(J50="Average",3,IF(J50="Good",4,IF(J50="Very good",5,""))))))</x:f>
      </x:c>
      <x:c r="BC50" s="8" t="str">
        <x:f>IF(Q50="","",IF(Q50="Very poor",1,IF(Q50="Poor",2,IF(Q50="Average",3,IF(Q50="Effective",4,IF(Q50="Very effective",5,""))))))</x:f>
      </x:c>
      <x:c r="BD50" s="8" t="str">
        <x:f>IF(S50="","",IF(S50="Never",1,IF(S50="Rarely",2,IF(S50="Sometimes",3,IF(S50="Often",4,IF(S50="Always",5,""))))))</x:f>
      </x:c>
      <x:c r="BE50" s="8" t="str">
        <x:f>IF(U50="","",IF(U50="Very poor",1,IF(U50="Poor",2,IF(U50="Average",3,IF(U50="Good",4,IF(U50="Very good",5,""))))))</x:f>
      </x:c>
      <x:c r="BF50" s="8" t="str">
        <x:f>IF(V50="","",IF(V50="Very poor",1,IF(V50="Poor",2,IF(V50="Average",3,IF(V50="Good",4,IF(V50="Very good",5,""))))))</x:f>
      </x:c>
      <x:c r="BG50" s="8" t="str">
        <x:f>IF(AB50="","",IF(AB50="Never",1,IF(AB50="Rarely",2,IF(AB50="Sometimes",3,IF(AB50="Often",4,IF(AB50="Always",5,""))))))</x:f>
      </x:c>
      <x:c r="BH50" s="8" t="str">
        <x:f>IF(AF50="","",IF(AF50="Very poor",1,IF(AF50="Poor",2,IF(AF50="Average",3,IF(AF50="Good",4,IF(AF50="Very good",5,""))))))</x:f>
      </x:c>
      <x:c r="BI50" s="8" t="str">
        <x:f>IF(AK50="","",IF(AK50="Very poor",1,IF(AK50="Poor",2,IF(AK50="Average",3,IF(AK50="Good",4,IF(AK50="Very good",5,""))))))</x:f>
      </x:c>
      <x:c r="BJ50" s="8" t="str">
        <x:f>IF(AT50="","",IF(AT50="Very poor",1,IF(AT50="Poor",2,IF(AT50="Average",3,IF(AT50="Good",4,IF(AT50="Very good",5,""))))))</x:f>
      </x:c>
      <x:c r="BK50" s="8"/>
    </x:row>
    <x:row r="51"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  <x:c r="AA51" s="8"/>
      <x:c r="AB51" s="8"/>
      <x:c r="AC51" s="8"/>
      <x:c r="AD51" s="8"/>
      <x:c r="AE51" s="8"/>
      <x:c r="AF51" s="8"/>
      <x:c r="AG51" s="8"/>
      <x:c r="AH51" s="8"/>
      <x:c r="AI51" s="8"/>
      <x:c r="AJ51" s="8"/>
      <x:c r="AK51" s="8"/>
      <x:c r="AL51" s="8"/>
      <x:c r="AM51" s="8"/>
      <x:c r="AN51" s="8"/>
      <x:c r="AO51" s="8"/>
      <x:c r="AP51" s="8"/>
      <x:c r="AQ51" s="8"/>
      <x:c r="AR51" s="8"/>
      <x:c r="AS51" s="8"/>
      <x:c r="AT51" s="8"/>
      <x:c r="AU51" s="8"/>
      <x:c r="AV51" s="8"/>
      <x:c r="AW51" s="8"/>
      <x:c r="AX51" s="8"/>
      <x:c r="AY51" s="8"/>
      <x:c r="AZ51" s="8" t="str">
        <x:f>IF(G51="","",IF(G51="Very poor",1,IF(G51="Poor",2,IF(G51="Average",3,IF(G51="Good",4,IF(G51="Very good",5,""))))))</x:f>
      </x:c>
      <x:c r="BA51" s="8" t="str">
        <x:f>IF(I51="","",IF(I51="Very poor",1,IF(I51="Poor",2,IF(I51="Average",3,IF(I51="Good",4,IF(I51="Very good",5,""))))))</x:f>
      </x:c>
      <x:c r="BB51" s="8" t="str">
        <x:f>IF(J51="","",IF(J51="Very poor",1,IF(J51="Poor",2,IF(J51="Average",3,IF(J51="Good",4,IF(J51="Very good",5,""))))))</x:f>
      </x:c>
      <x:c r="BC51" s="8" t="str">
        <x:f>IF(Q51="","",IF(Q51="Very poor",1,IF(Q51="Poor",2,IF(Q51="Average",3,IF(Q51="Effective",4,IF(Q51="Very effective",5,""))))))</x:f>
      </x:c>
      <x:c r="BD51" s="8" t="str">
        <x:f>IF(S51="","",IF(S51="Never",1,IF(S51="Rarely",2,IF(S51="Sometimes",3,IF(S51="Often",4,IF(S51="Always",5,""))))))</x:f>
      </x:c>
      <x:c r="BE51" s="8" t="str">
        <x:f>IF(U51="","",IF(U51="Very poor",1,IF(U51="Poor",2,IF(U51="Average",3,IF(U51="Good",4,IF(U51="Very good",5,""))))))</x:f>
      </x:c>
      <x:c r="BF51" s="8" t="str">
        <x:f>IF(V51="","",IF(V51="Very poor",1,IF(V51="Poor",2,IF(V51="Average",3,IF(V51="Good",4,IF(V51="Very good",5,""))))))</x:f>
      </x:c>
      <x:c r="BG51" s="8" t="str">
        <x:f>IF(AB51="","",IF(AB51="Never",1,IF(AB51="Rarely",2,IF(AB51="Sometimes",3,IF(AB51="Often",4,IF(AB51="Always",5,""))))))</x:f>
      </x:c>
      <x:c r="BH51" s="8" t="str">
        <x:f>IF(AF51="","",IF(AF51="Very poor",1,IF(AF51="Poor",2,IF(AF51="Average",3,IF(AF51="Good",4,IF(AF51="Very good",5,""))))))</x:f>
      </x:c>
      <x:c r="BI51" s="8" t="str">
        <x:f>IF(AK51="","",IF(AK51="Very poor",1,IF(AK51="Poor",2,IF(AK51="Average",3,IF(AK51="Good",4,IF(AK51="Very good",5,""))))))</x:f>
      </x:c>
      <x:c r="BJ51" s="8" t="str">
        <x:f>IF(AT51="","",IF(AT51="Very poor",1,IF(AT51="Poor",2,IF(AT51="Average",3,IF(AT51="Good",4,IF(AT51="Very good",5,""))))))</x:f>
      </x:c>
      <x:c r="BK51" s="8"/>
    </x:row>
    <x:row r="52"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  <x:c r="AA52" s="8"/>
      <x:c r="AB52" s="8"/>
      <x:c r="AC52" s="8"/>
      <x:c r="AD52" s="8"/>
      <x:c r="AE52" s="8"/>
      <x:c r="AF52" s="8"/>
      <x:c r="AG52" s="8"/>
      <x:c r="AH52" s="8"/>
      <x:c r="AI52" s="8"/>
      <x:c r="AJ52" s="8"/>
      <x:c r="AK52" s="8"/>
      <x:c r="AL52" s="8"/>
      <x:c r="AM52" s="8"/>
      <x:c r="AN52" s="8"/>
      <x:c r="AO52" s="8"/>
      <x:c r="AP52" s="8"/>
      <x:c r="AQ52" s="8"/>
      <x:c r="AR52" s="8"/>
      <x:c r="AS52" s="8"/>
      <x:c r="AT52" s="8"/>
      <x:c r="AU52" s="8"/>
      <x:c r="AV52" s="8"/>
      <x:c r="AW52" s="8"/>
      <x:c r="AX52" s="8"/>
      <x:c r="AY52" s="8"/>
      <x:c r="AZ52" s="8" t="str">
        <x:f>IF(G52="","",IF(G52="Very poor",1,IF(G52="Poor",2,IF(G52="Average",3,IF(G52="Good",4,IF(G52="Very good",5,""))))))</x:f>
      </x:c>
      <x:c r="BA52" s="8" t="str">
        <x:f>IF(I52="","",IF(I52="Very poor",1,IF(I52="Poor",2,IF(I52="Average",3,IF(I52="Good",4,IF(I52="Very good",5,""))))))</x:f>
      </x:c>
      <x:c r="BB52" s="8" t="str">
        <x:f>IF(J52="","",IF(J52="Very poor",1,IF(J52="Poor",2,IF(J52="Average",3,IF(J52="Good",4,IF(J52="Very good",5,""))))))</x:f>
      </x:c>
      <x:c r="BC52" s="8" t="str">
        <x:f>IF(Q52="","",IF(Q52="Very poor",1,IF(Q52="Poor",2,IF(Q52="Average",3,IF(Q52="Effective",4,IF(Q52="Very effective",5,""))))))</x:f>
      </x:c>
      <x:c r="BD52" s="8" t="str">
        <x:f>IF(S52="","",IF(S52="Never",1,IF(S52="Rarely",2,IF(S52="Sometimes",3,IF(S52="Often",4,IF(S52="Always",5,""))))))</x:f>
      </x:c>
      <x:c r="BE52" s="8" t="str">
        <x:f>IF(U52="","",IF(U52="Very poor",1,IF(U52="Poor",2,IF(U52="Average",3,IF(U52="Good",4,IF(U52="Very good",5,""))))))</x:f>
      </x:c>
      <x:c r="BF52" s="8" t="str">
        <x:f>IF(V52="","",IF(V52="Very poor",1,IF(V52="Poor",2,IF(V52="Average",3,IF(V52="Good",4,IF(V52="Very good",5,""))))))</x:f>
      </x:c>
      <x:c r="BG52" s="8" t="str">
        <x:f>IF(AB52="","",IF(AB52="Never",1,IF(AB52="Rarely",2,IF(AB52="Sometimes",3,IF(AB52="Often",4,IF(AB52="Always",5,""))))))</x:f>
      </x:c>
      <x:c r="BH52" s="8" t="str">
        <x:f>IF(AF52="","",IF(AF52="Very poor",1,IF(AF52="Poor",2,IF(AF52="Average",3,IF(AF52="Good",4,IF(AF52="Very good",5,""))))))</x:f>
      </x:c>
      <x:c r="BI52" s="8" t="str">
        <x:f>IF(AK52="","",IF(AK52="Very poor",1,IF(AK52="Poor",2,IF(AK52="Average",3,IF(AK52="Good",4,IF(AK52="Very good",5,""))))))</x:f>
      </x:c>
      <x:c r="BJ52" s="8" t="str">
        <x:f>IF(AT52="","",IF(AT52="Very poor",1,IF(AT52="Poor",2,IF(AT52="Average",3,IF(AT52="Good",4,IF(AT52="Very good",5,""))))))</x:f>
      </x:c>
      <x:c r="BK52" s="8"/>
    </x:row>
    <x:row r="53"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  <x:c r="AA53" s="8"/>
      <x:c r="AB53" s="8"/>
      <x:c r="AC53" s="8"/>
      <x:c r="AD53" s="8"/>
      <x:c r="AE53" s="8"/>
      <x:c r="AF53" s="8"/>
      <x:c r="AG53" s="8"/>
      <x:c r="AH53" s="8"/>
      <x:c r="AI53" s="8"/>
      <x:c r="AJ53" s="8"/>
      <x:c r="AK53" s="8"/>
      <x:c r="AL53" s="8"/>
      <x:c r="AM53" s="8"/>
      <x:c r="AN53" s="8"/>
      <x:c r="AO53" s="8"/>
      <x:c r="AP53" s="8"/>
      <x:c r="AQ53" s="8"/>
      <x:c r="AR53" s="8"/>
      <x:c r="AS53" s="8"/>
      <x:c r="AT53" s="8"/>
      <x:c r="AU53" s="8"/>
      <x:c r="AV53" s="8"/>
      <x:c r="AW53" s="8"/>
      <x:c r="AX53" s="8"/>
      <x:c r="AY53" s="8"/>
      <x:c r="AZ53" s="8" t="str">
        <x:f>IF(G53="","",IF(G53="Very poor",1,IF(G53="Poor",2,IF(G53="Average",3,IF(G53="Good",4,IF(G53="Very good",5,""))))))</x:f>
      </x:c>
      <x:c r="BA53" s="8" t="str">
        <x:f>IF(I53="","",IF(I53="Very poor",1,IF(I53="Poor",2,IF(I53="Average",3,IF(I53="Good",4,IF(I53="Very good",5,""))))))</x:f>
      </x:c>
      <x:c r="BB53" s="8" t="str">
        <x:f>IF(J53="","",IF(J53="Very poor",1,IF(J53="Poor",2,IF(J53="Average",3,IF(J53="Good",4,IF(J53="Very good",5,""))))))</x:f>
      </x:c>
      <x:c r="BC53" s="8" t="str">
        <x:f>IF(Q53="","",IF(Q53="Very poor",1,IF(Q53="Poor",2,IF(Q53="Average",3,IF(Q53="Effective",4,IF(Q53="Very effective",5,""))))))</x:f>
      </x:c>
      <x:c r="BD53" s="8" t="str">
        <x:f>IF(S53="","",IF(S53="Never",1,IF(S53="Rarely",2,IF(S53="Sometimes",3,IF(S53="Often",4,IF(S53="Always",5,""))))))</x:f>
      </x:c>
      <x:c r="BE53" s="8" t="str">
        <x:f>IF(U53="","",IF(U53="Very poor",1,IF(U53="Poor",2,IF(U53="Average",3,IF(U53="Good",4,IF(U53="Very good",5,""))))))</x:f>
      </x:c>
      <x:c r="BF53" s="8" t="str">
        <x:f>IF(V53="","",IF(V53="Very poor",1,IF(V53="Poor",2,IF(V53="Average",3,IF(V53="Good",4,IF(V53="Very good",5,""))))))</x:f>
      </x:c>
      <x:c r="BG53" s="8" t="str">
        <x:f>IF(AB53="","",IF(AB53="Never",1,IF(AB53="Rarely",2,IF(AB53="Sometimes",3,IF(AB53="Often",4,IF(AB53="Always",5,""))))))</x:f>
      </x:c>
      <x:c r="BH53" s="8" t="str">
        <x:f>IF(AF53="","",IF(AF53="Very poor",1,IF(AF53="Poor",2,IF(AF53="Average",3,IF(AF53="Good",4,IF(AF53="Very good",5,""))))))</x:f>
      </x:c>
      <x:c r="BI53" s="8" t="str">
        <x:f>IF(AK53="","",IF(AK53="Very poor",1,IF(AK53="Poor",2,IF(AK53="Average",3,IF(AK53="Good",4,IF(AK53="Very good",5,""))))))</x:f>
      </x:c>
      <x:c r="BJ53" s="8" t="str">
        <x:f>IF(AT53="","",IF(AT53="Very poor",1,IF(AT53="Poor",2,IF(AT53="Average",3,IF(AT53="Good",4,IF(AT53="Very good",5,""))))))</x:f>
      </x:c>
      <x:c r="BK53" s="8"/>
    </x:row>
    <x:row r="54"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  <x:c r="AA54" s="8"/>
      <x:c r="AB54" s="8"/>
      <x:c r="AC54" s="8"/>
      <x:c r="AD54" s="8"/>
      <x:c r="AE54" s="8"/>
      <x:c r="AF54" s="8"/>
      <x:c r="AG54" s="8"/>
      <x:c r="AH54" s="8"/>
      <x:c r="AI54" s="8"/>
      <x:c r="AJ54" s="8"/>
      <x:c r="AK54" s="8"/>
      <x:c r="AL54" s="8"/>
      <x:c r="AM54" s="8"/>
      <x:c r="AN54" s="8"/>
      <x:c r="AO54" s="8"/>
      <x:c r="AP54" s="8"/>
      <x:c r="AQ54" s="8"/>
      <x:c r="AR54" s="8"/>
      <x:c r="AS54" s="8"/>
      <x:c r="AT54" s="8"/>
      <x:c r="AU54" s="8"/>
      <x:c r="AV54" s="8"/>
      <x:c r="AW54" s="8"/>
      <x:c r="AX54" s="8"/>
      <x:c r="AY54" s="8"/>
      <x:c r="AZ54" s="8" t="str">
        <x:f>IF(G54="","",IF(G54="Very poor",1,IF(G54="Poor",2,IF(G54="Average",3,IF(G54="Good",4,IF(G54="Very good",5,""))))))</x:f>
      </x:c>
      <x:c r="BA54" s="8" t="str">
        <x:f>IF(I54="","",IF(I54="Very poor",1,IF(I54="Poor",2,IF(I54="Average",3,IF(I54="Good",4,IF(I54="Very good",5,""))))))</x:f>
      </x:c>
      <x:c r="BB54" s="8" t="str">
        <x:f>IF(J54="","",IF(J54="Very poor",1,IF(J54="Poor",2,IF(J54="Average",3,IF(J54="Good",4,IF(J54="Very good",5,""))))))</x:f>
      </x:c>
      <x:c r="BC54" s="8" t="str">
        <x:f>IF(Q54="","",IF(Q54="Very poor",1,IF(Q54="Poor",2,IF(Q54="Average",3,IF(Q54="Effective",4,IF(Q54="Very effective",5,""))))))</x:f>
      </x:c>
      <x:c r="BD54" s="8" t="str">
        <x:f>IF(S54="","",IF(S54="Never",1,IF(S54="Rarely",2,IF(S54="Sometimes",3,IF(S54="Often",4,IF(S54="Always",5,""))))))</x:f>
      </x:c>
      <x:c r="BE54" s="8" t="str">
        <x:f>IF(U54="","",IF(U54="Very poor",1,IF(U54="Poor",2,IF(U54="Average",3,IF(U54="Good",4,IF(U54="Very good",5,""))))))</x:f>
      </x:c>
      <x:c r="BF54" s="8" t="str">
        <x:f>IF(V54="","",IF(V54="Very poor",1,IF(V54="Poor",2,IF(V54="Average",3,IF(V54="Good",4,IF(V54="Very good",5,""))))))</x:f>
      </x:c>
      <x:c r="BG54" s="8" t="str">
        <x:f>IF(AB54="","",IF(AB54="Never",1,IF(AB54="Rarely",2,IF(AB54="Sometimes",3,IF(AB54="Often",4,IF(AB54="Always",5,""))))))</x:f>
      </x:c>
      <x:c r="BH54" s="8" t="str">
        <x:f>IF(AF54="","",IF(AF54="Very poor",1,IF(AF54="Poor",2,IF(AF54="Average",3,IF(AF54="Good",4,IF(AF54="Very good",5,""))))))</x:f>
      </x:c>
      <x:c r="BI54" s="8" t="str">
        <x:f>IF(AK54="","",IF(AK54="Very poor",1,IF(AK54="Poor",2,IF(AK54="Average",3,IF(AK54="Good",4,IF(AK54="Very good",5,""))))))</x:f>
      </x:c>
      <x:c r="BJ54" s="8" t="str">
        <x:f>IF(AT54="","",IF(AT54="Very poor",1,IF(AT54="Poor",2,IF(AT54="Average",3,IF(AT54="Good",4,IF(AT54="Very good",5,""))))))</x:f>
      </x:c>
      <x:c r="BK54" s="8"/>
    </x:row>
    <x:row r="55"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  <x:c r="AA55" s="8"/>
      <x:c r="AB55" s="8"/>
      <x:c r="AC55" s="8"/>
      <x:c r="AD55" s="8"/>
      <x:c r="AE55" s="8"/>
      <x:c r="AF55" s="8"/>
      <x:c r="AG55" s="8"/>
      <x:c r="AH55" s="8"/>
      <x:c r="AI55" s="8"/>
      <x:c r="AJ55" s="8"/>
      <x:c r="AK55" s="8"/>
      <x:c r="AL55" s="8"/>
      <x:c r="AM55" s="8"/>
      <x:c r="AN55" s="8"/>
      <x:c r="AO55" s="8"/>
      <x:c r="AP55" s="8"/>
      <x:c r="AQ55" s="8"/>
      <x:c r="AR55" s="8"/>
      <x:c r="AS55" s="8"/>
      <x:c r="AT55" s="8"/>
      <x:c r="AU55" s="8"/>
      <x:c r="AV55" s="8"/>
      <x:c r="AW55" s="8"/>
      <x:c r="AX55" s="8"/>
      <x:c r="AY55" s="8"/>
      <x:c r="AZ55" s="8" t="str">
        <x:f>IF(G55="","",IF(G55="Very poor",1,IF(G55="Poor",2,IF(G55="Average",3,IF(G55="Good",4,IF(G55="Very good",5,""))))))</x:f>
      </x:c>
      <x:c r="BA55" s="8" t="str">
        <x:f>IF(I55="","",IF(I55="Very poor",1,IF(I55="Poor",2,IF(I55="Average",3,IF(I55="Good",4,IF(I55="Very good",5,""))))))</x:f>
      </x:c>
      <x:c r="BB55" s="8" t="str">
        <x:f>IF(J55="","",IF(J55="Very poor",1,IF(J55="Poor",2,IF(J55="Average",3,IF(J55="Good",4,IF(J55="Very good",5,""))))))</x:f>
      </x:c>
      <x:c r="BC55" s="8" t="str">
        <x:f>IF(Q55="","",IF(Q55="Very poor",1,IF(Q55="Poor",2,IF(Q55="Average",3,IF(Q55="Effective",4,IF(Q55="Very effective",5,""))))))</x:f>
      </x:c>
      <x:c r="BD55" s="8" t="str">
        <x:f>IF(S55="","",IF(S55="Never",1,IF(S55="Rarely",2,IF(S55="Sometimes",3,IF(S55="Often",4,IF(S55="Always",5,""))))))</x:f>
      </x:c>
      <x:c r="BE55" s="8" t="str">
        <x:f>IF(U55="","",IF(U55="Very poor",1,IF(U55="Poor",2,IF(U55="Average",3,IF(U55="Good",4,IF(U55="Very good",5,""))))))</x:f>
      </x:c>
      <x:c r="BF55" s="8" t="str">
        <x:f>IF(V55="","",IF(V55="Very poor",1,IF(V55="Poor",2,IF(V55="Average",3,IF(V55="Good",4,IF(V55="Very good",5,""))))))</x:f>
      </x:c>
      <x:c r="BG55" s="8" t="str">
        <x:f>IF(AB55="","",IF(AB55="Never",1,IF(AB55="Rarely",2,IF(AB55="Sometimes",3,IF(AB55="Often",4,IF(AB55="Always",5,""))))))</x:f>
      </x:c>
      <x:c r="BH55" s="8" t="str">
        <x:f>IF(AF55="","",IF(AF55="Very poor",1,IF(AF55="Poor",2,IF(AF55="Average",3,IF(AF55="Good",4,IF(AF55="Very good",5,""))))))</x:f>
      </x:c>
      <x:c r="BI55" s="8" t="str">
        <x:f>IF(AK55="","",IF(AK55="Very poor",1,IF(AK55="Poor",2,IF(AK55="Average",3,IF(AK55="Good",4,IF(AK55="Very good",5,""))))))</x:f>
      </x:c>
      <x:c r="BJ55" s="8" t="str">
        <x:f>IF(AT55="","",IF(AT55="Very poor",1,IF(AT55="Poor",2,IF(AT55="Average",3,IF(AT55="Good",4,IF(AT55="Very good",5,""))))))</x:f>
      </x:c>
      <x:c r="BK55" s="8"/>
    </x:row>
    <x:row r="56"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  <x:c r="AA56" s="8"/>
      <x:c r="AB56" s="8"/>
      <x:c r="AC56" s="8"/>
      <x:c r="AD56" s="8"/>
      <x:c r="AE56" s="8"/>
      <x:c r="AF56" s="8"/>
      <x:c r="AG56" s="8"/>
      <x:c r="AH56" s="8"/>
      <x:c r="AI56" s="8"/>
      <x:c r="AJ56" s="8"/>
      <x:c r="AK56" s="8"/>
      <x:c r="AL56" s="8"/>
      <x:c r="AM56" s="8"/>
      <x:c r="AN56" s="8"/>
      <x:c r="AO56" s="8"/>
      <x:c r="AP56" s="8"/>
      <x:c r="AQ56" s="8"/>
      <x:c r="AR56" s="8"/>
      <x:c r="AS56" s="8"/>
      <x:c r="AT56" s="8"/>
      <x:c r="AU56" s="8"/>
      <x:c r="AV56" s="8"/>
      <x:c r="AW56" s="8"/>
      <x:c r="AX56" s="8"/>
      <x:c r="AY56" s="8"/>
      <x:c r="AZ56" s="8" t="str">
        <x:f>IF(G56="","",IF(G56="Very poor",1,IF(G56="Poor",2,IF(G56="Average",3,IF(G56="Good",4,IF(G56="Very good",5,""))))))</x:f>
      </x:c>
      <x:c r="BA56" s="8" t="str">
        <x:f>IF(I56="","",IF(I56="Very poor",1,IF(I56="Poor",2,IF(I56="Average",3,IF(I56="Good",4,IF(I56="Very good",5,""))))))</x:f>
      </x:c>
      <x:c r="BB56" s="8" t="str">
        <x:f>IF(J56="","",IF(J56="Very poor",1,IF(J56="Poor",2,IF(J56="Average",3,IF(J56="Good",4,IF(J56="Very good",5,""))))))</x:f>
      </x:c>
      <x:c r="BC56" s="8" t="str">
        <x:f>IF(Q56="","",IF(Q56="Very poor",1,IF(Q56="Poor",2,IF(Q56="Average",3,IF(Q56="Effective",4,IF(Q56="Very effective",5,""))))))</x:f>
      </x:c>
      <x:c r="BD56" s="8" t="str">
        <x:f>IF(S56="","",IF(S56="Never",1,IF(S56="Rarely",2,IF(S56="Sometimes",3,IF(S56="Often",4,IF(S56="Always",5,""))))))</x:f>
      </x:c>
      <x:c r="BE56" s="8" t="str">
        <x:f>IF(U56="","",IF(U56="Very poor",1,IF(U56="Poor",2,IF(U56="Average",3,IF(U56="Good",4,IF(U56="Very good",5,""))))))</x:f>
      </x:c>
      <x:c r="BF56" s="8" t="str">
        <x:f>IF(V56="","",IF(V56="Very poor",1,IF(V56="Poor",2,IF(V56="Average",3,IF(V56="Good",4,IF(V56="Very good",5,""))))))</x:f>
      </x:c>
      <x:c r="BG56" s="8" t="str">
        <x:f>IF(AB56="","",IF(AB56="Never",1,IF(AB56="Rarely",2,IF(AB56="Sometimes",3,IF(AB56="Often",4,IF(AB56="Always",5,""))))))</x:f>
      </x:c>
      <x:c r="BH56" s="8" t="str">
        <x:f>IF(AF56="","",IF(AF56="Very poor",1,IF(AF56="Poor",2,IF(AF56="Average",3,IF(AF56="Good",4,IF(AF56="Very good",5,""))))))</x:f>
      </x:c>
      <x:c r="BI56" s="8" t="str">
        <x:f>IF(AK56="","",IF(AK56="Very poor",1,IF(AK56="Poor",2,IF(AK56="Average",3,IF(AK56="Good",4,IF(AK56="Very good",5,""))))))</x:f>
      </x:c>
      <x:c r="BJ56" s="8" t="str">
        <x:f>IF(AT56="","",IF(AT56="Very poor",1,IF(AT56="Poor",2,IF(AT56="Average",3,IF(AT56="Good",4,IF(AT56="Very good",5,""))))))</x:f>
      </x:c>
      <x:c r="BK56" s="8"/>
    </x:row>
    <x:row r="57"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  <x:c r="AA57" s="8"/>
      <x:c r="AB57" s="8"/>
      <x:c r="AC57" s="8"/>
      <x:c r="AD57" s="8"/>
      <x:c r="AE57" s="8"/>
      <x:c r="AF57" s="8"/>
      <x:c r="AG57" s="8"/>
      <x:c r="AH57" s="8"/>
      <x:c r="AI57" s="8"/>
      <x:c r="AJ57" s="8"/>
      <x:c r="AK57" s="8"/>
      <x:c r="AL57" s="8"/>
      <x:c r="AM57" s="8"/>
      <x:c r="AN57" s="8"/>
      <x:c r="AO57" s="8"/>
      <x:c r="AP57" s="8"/>
      <x:c r="AQ57" s="8"/>
      <x:c r="AR57" s="8"/>
      <x:c r="AS57" s="8"/>
      <x:c r="AT57" s="8"/>
      <x:c r="AU57" s="8"/>
      <x:c r="AV57" s="8"/>
      <x:c r="AW57" s="8"/>
      <x:c r="AX57" s="8"/>
      <x:c r="AY57" s="8"/>
      <x:c r="AZ57" s="8" t="str">
        <x:f>IF(G57="","",IF(G57="Very poor",1,IF(G57="Poor",2,IF(G57="Average",3,IF(G57="Good",4,IF(G57="Very good",5,""))))))</x:f>
      </x:c>
      <x:c r="BA57" s="8" t="str">
        <x:f>IF(I57="","",IF(I57="Very poor",1,IF(I57="Poor",2,IF(I57="Average",3,IF(I57="Good",4,IF(I57="Very good",5,""))))))</x:f>
      </x:c>
      <x:c r="BB57" s="8" t="str">
        <x:f>IF(J57="","",IF(J57="Very poor",1,IF(J57="Poor",2,IF(J57="Average",3,IF(J57="Good",4,IF(J57="Very good",5,""))))))</x:f>
      </x:c>
      <x:c r="BC57" s="8" t="str">
        <x:f>IF(Q57="","",IF(Q57="Very poor",1,IF(Q57="Poor",2,IF(Q57="Average",3,IF(Q57="Effective",4,IF(Q57="Very effective",5,""))))))</x:f>
      </x:c>
      <x:c r="BD57" s="8" t="str">
        <x:f>IF(S57="","",IF(S57="Never",1,IF(S57="Rarely",2,IF(S57="Sometimes",3,IF(S57="Often",4,IF(S57="Always",5,""))))))</x:f>
      </x:c>
      <x:c r="BE57" s="8" t="str">
        <x:f>IF(U57="","",IF(U57="Very poor",1,IF(U57="Poor",2,IF(U57="Average",3,IF(U57="Good",4,IF(U57="Very good",5,""))))))</x:f>
      </x:c>
      <x:c r="BF57" s="8" t="str">
        <x:f>IF(V57="","",IF(V57="Very poor",1,IF(V57="Poor",2,IF(V57="Average",3,IF(V57="Good",4,IF(V57="Very good",5,""))))))</x:f>
      </x:c>
      <x:c r="BG57" s="8" t="str">
        <x:f>IF(AB57="","",IF(AB57="Never",1,IF(AB57="Rarely",2,IF(AB57="Sometimes",3,IF(AB57="Often",4,IF(AB57="Always",5,""))))))</x:f>
      </x:c>
      <x:c r="BH57" s="8" t="str">
        <x:f>IF(AF57="","",IF(AF57="Very poor",1,IF(AF57="Poor",2,IF(AF57="Average",3,IF(AF57="Good",4,IF(AF57="Very good",5,""))))))</x:f>
      </x:c>
      <x:c r="BI57" s="8" t="str">
        <x:f>IF(AK57="","",IF(AK57="Very poor",1,IF(AK57="Poor",2,IF(AK57="Average",3,IF(AK57="Good",4,IF(AK57="Very good",5,""))))))</x:f>
      </x:c>
      <x:c r="BJ57" s="8" t="str">
        <x:f>IF(AT57="","",IF(AT57="Very poor",1,IF(AT57="Poor",2,IF(AT57="Average",3,IF(AT57="Good",4,IF(AT57="Very good",5,""))))))</x:f>
      </x:c>
      <x:c r="BK57" s="8"/>
    </x:row>
    <x:row r="58"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  <x:c r="AA58" s="8"/>
      <x:c r="AB58" s="8"/>
      <x:c r="AC58" s="8"/>
      <x:c r="AD58" s="8"/>
      <x:c r="AE58" s="8"/>
      <x:c r="AF58" s="8"/>
      <x:c r="AG58" s="8"/>
      <x:c r="AH58" s="8"/>
      <x:c r="AI58" s="8"/>
      <x:c r="AJ58" s="8"/>
      <x:c r="AK58" s="8"/>
      <x:c r="AL58" s="8"/>
      <x:c r="AM58" s="8"/>
      <x:c r="AN58" s="8"/>
      <x:c r="AO58" s="8"/>
      <x:c r="AP58" s="8"/>
      <x:c r="AQ58" s="8"/>
      <x:c r="AR58" s="8"/>
      <x:c r="AS58" s="8"/>
      <x:c r="AT58" s="8"/>
      <x:c r="AU58" s="8"/>
      <x:c r="AV58" s="8"/>
      <x:c r="AW58" s="8"/>
      <x:c r="AX58" s="8"/>
      <x:c r="AY58" s="8"/>
      <x:c r="AZ58" s="8" t="str">
        <x:f>IF(G58="","",IF(G58="Very poor",1,IF(G58="Poor",2,IF(G58="Average",3,IF(G58="Good",4,IF(G58="Very good",5,""))))))</x:f>
      </x:c>
      <x:c r="BA58" s="8" t="str">
        <x:f>IF(I58="","",IF(I58="Very poor",1,IF(I58="Poor",2,IF(I58="Average",3,IF(I58="Good",4,IF(I58="Very good",5,""))))))</x:f>
      </x:c>
      <x:c r="BB58" s="8" t="str">
        <x:f>IF(J58="","",IF(J58="Very poor",1,IF(J58="Poor",2,IF(J58="Average",3,IF(J58="Good",4,IF(J58="Very good",5,""))))))</x:f>
      </x:c>
      <x:c r="BC58" s="8" t="str">
        <x:f>IF(Q58="","",IF(Q58="Very poor",1,IF(Q58="Poor",2,IF(Q58="Average",3,IF(Q58="Effective",4,IF(Q58="Very effective",5,""))))))</x:f>
      </x:c>
      <x:c r="BD58" s="8" t="str">
        <x:f>IF(S58="","",IF(S58="Never",1,IF(S58="Rarely",2,IF(S58="Sometimes",3,IF(S58="Often",4,IF(S58="Always",5,""))))))</x:f>
      </x:c>
      <x:c r="BE58" s="8" t="str">
        <x:f>IF(U58="","",IF(U58="Very poor",1,IF(U58="Poor",2,IF(U58="Average",3,IF(U58="Good",4,IF(U58="Very good",5,""))))))</x:f>
      </x:c>
      <x:c r="BF58" s="8" t="str">
        <x:f>IF(V58="","",IF(V58="Very poor",1,IF(V58="Poor",2,IF(V58="Average",3,IF(V58="Good",4,IF(V58="Very good",5,""))))))</x:f>
      </x:c>
      <x:c r="BG58" s="8" t="str">
        <x:f>IF(AB58="","",IF(AB58="Never",1,IF(AB58="Rarely",2,IF(AB58="Sometimes",3,IF(AB58="Often",4,IF(AB58="Always",5,""))))))</x:f>
      </x:c>
      <x:c r="BH58" s="8" t="str">
        <x:f>IF(AF58="","",IF(AF58="Very poor",1,IF(AF58="Poor",2,IF(AF58="Average",3,IF(AF58="Good",4,IF(AF58="Very good",5,""))))))</x:f>
      </x:c>
      <x:c r="BI58" s="8" t="str">
        <x:f>IF(AK58="","",IF(AK58="Very poor",1,IF(AK58="Poor",2,IF(AK58="Average",3,IF(AK58="Good",4,IF(AK58="Very good",5,""))))))</x:f>
      </x:c>
      <x:c r="BJ58" s="8" t="str">
        <x:f>IF(AT58="","",IF(AT58="Very poor",1,IF(AT58="Poor",2,IF(AT58="Average",3,IF(AT58="Good",4,IF(AT58="Very good",5,""))))))</x:f>
      </x:c>
      <x:c r="BK58" s="8"/>
    </x:row>
    <x:row r="59"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  <x:c r="AA59" s="8"/>
      <x:c r="AB59" s="8"/>
      <x:c r="AC59" s="8"/>
      <x:c r="AD59" s="8"/>
      <x:c r="AE59" s="8"/>
      <x:c r="AF59" s="8"/>
      <x:c r="AG59" s="8"/>
      <x:c r="AH59" s="8"/>
      <x:c r="AI59" s="8"/>
      <x:c r="AJ59" s="8"/>
      <x:c r="AK59" s="8"/>
      <x:c r="AL59" s="8"/>
      <x:c r="AM59" s="8"/>
      <x:c r="AN59" s="8"/>
      <x:c r="AO59" s="8"/>
      <x:c r="AP59" s="8"/>
      <x:c r="AQ59" s="8"/>
      <x:c r="AR59" s="8"/>
      <x:c r="AS59" s="8"/>
      <x:c r="AT59" s="8"/>
      <x:c r="AU59" s="8"/>
      <x:c r="AV59" s="8"/>
      <x:c r="AW59" s="8"/>
      <x:c r="AX59" s="8"/>
      <x:c r="AY59" s="8"/>
      <x:c r="AZ59" s="8" t="str">
        <x:f>IF(G59="","",IF(G59="Very poor",1,IF(G59="Poor",2,IF(G59="Average",3,IF(G59="Good",4,IF(G59="Very good",5,""))))))</x:f>
      </x:c>
      <x:c r="BA59" s="8" t="str">
        <x:f>IF(I59="","",IF(I59="Very poor",1,IF(I59="Poor",2,IF(I59="Average",3,IF(I59="Good",4,IF(I59="Very good",5,""))))))</x:f>
      </x:c>
      <x:c r="BB59" s="8" t="str">
        <x:f>IF(J59="","",IF(J59="Very poor",1,IF(J59="Poor",2,IF(J59="Average",3,IF(J59="Good",4,IF(J59="Very good",5,""))))))</x:f>
      </x:c>
      <x:c r="BC59" s="8" t="str">
        <x:f>IF(Q59="","",IF(Q59="Very poor",1,IF(Q59="Poor",2,IF(Q59="Average",3,IF(Q59="Effective",4,IF(Q59="Very effective",5,""))))))</x:f>
      </x:c>
      <x:c r="BD59" s="8" t="str">
        <x:f>IF(S59="","",IF(S59="Never",1,IF(S59="Rarely",2,IF(S59="Sometimes",3,IF(S59="Often",4,IF(S59="Always",5,""))))))</x:f>
      </x:c>
      <x:c r="BE59" s="8" t="str">
        <x:f>IF(U59="","",IF(U59="Very poor",1,IF(U59="Poor",2,IF(U59="Average",3,IF(U59="Good",4,IF(U59="Very good",5,""))))))</x:f>
      </x:c>
      <x:c r="BF59" s="8" t="str">
        <x:f>IF(V59="","",IF(V59="Very poor",1,IF(V59="Poor",2,IF(V59="Average",3,IF(V59="Good",4,IF(V59="Very good",5,""))))))</x:f>
      </x:c>
      <x:c r="BG59" s="8" t="str">
        <x:f>IF(AB59="","",IF(AB59="Never",1,IF(AB59="Rarely",2,IF(AB59="Sometimes",3,IF(AB59="Often",4,IF(AB59="Always",5,""))))))</x:f>
      </x:c>
      <x:c r="BH59" s="8" t="str">
        <x:f>IF(AF59="","",IF(AF59="Very poor",1,IF(AF59="Poor",2,IF(AF59="Average",3,IF(AF59="Good",4,IF(AF59="Very good",5,""))))))</x:f>
      </x:c>
      <x:c r="BI59" s="8" t="str">
        <x:f>IF(AK59="","",IF(AK59="Very poor",1,IF(AK59="Poor",2,IF(AK59="Average",3,IF(AK59="Good",4,IF(AK59="Very good",5,""))))))</x:f>
      </x:c>
      <x:c r="BJ59" s="8" t="str">
        <x:f>IF(AT59="","",IF(AT59="Very poor",1,IF(AT59="Poor",2,IF(AT59="Average",3,IF(AT59="Good",4,IF(AT59="Very good",5,""))))))</x:f>
      </x:c>
      <x:c r="BK59" s="8"/>
    </x:row>
    <x:row r="60"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  <x:c r="AA60" s="8"/>
      <x:c r="AB60" s="8"/>
      <x:c r="AC60" s="8"/>
      <x:c r="AD60" s="8"/>
      <x:c r="AE60" s="8"/>
      <x:c r="AF60" s="8"/>
      <x:c r="AG60" s="8"/>
      <x:c r="AH60" s="8"/>
      <x:c r="AI60" s="8"/>
      <x:c r="AJ60" s="8"/>
      <x:c r="AK60" s="8"/>
      <x:c r="AL60" s="8"/>
      <x:c r="AM60" s="8"/>
      <x:c r="AN60" s="8"/>
      <x:c r="AO60" s="8"/>
      <x:c r="AP60" s="8"/>
      <x:c r="AQ60" s="8"/>
      <x:c r="AR60" s="8"/>
      <x:c r="AS60" s="8"/>
      <x:c r="AT60" s="8"/>
      <x:c r="AU60" s="8"/>
      <x:c r="AV60" s="8"/>
      <x:c r="AW60" s="8"/>
      <x:c r="AX60" s="8"/>
      <x:c r="AY60" s="8"/>
      <x:c r="AZ60" s="8" t="str">
        <x:f>IF(G60="","",IF(G60="Very poor",1,IF(G60="Poor",2,IF(G60="Average",3,IF(G60="Good",4,IF(G60="Very good",5,""))))))</x:f>
      </x:c>
      <x:c r="BA60" s="8" t="str">
        <x:f>IF(I60="","",IF(I60="Very poor",1,IF(I60="Poor",2,IF(I60="Average",3,IF(I60="Good",4,IF(I60="Very good",5,""))))))</x:f>
      </x:c>
      <x:c r="BB60" s="8" t="str">
        <x:f>IF(J60="","",IF(J60="Very poor",1,IF(J60="Poor",2,IF(J60="Average",3,IF(J60="Good",4,IF(J60="Very good",5,""))))))</x:f>
      </x:c>
      <x:c r="BC60" s="8" t="str">
        <x:f>IF(Q60="","",IF(Q60="Very poor",1,IF(Q60="Poor",2,IF(Q60="Average",3,IF(Q60="Effective",4,IF(Q60="Very effective",5,""))))))</x:f>
      </x:c>
      <x:c r="BD60" s="8" t="str">
        <x:f>IF(S60="","",IF(S60="Never",1,IF(S60="Rarely",2,IF(S60="Sometimes",3,IF(S60="Often",4,IF(S60="Always",5,""))))))</x:f>
      </x:c>
      <x:c r="BE60" s="8" t="str">
        <x:f>IF(U60="","",IF(U60="Very poor",1,IF(U60="Poor",2,IF(U60="Average",3,IF(U60="Good",4,IF(U60="Very good",5,""))))))</x:f>
      </x:c>
      <x:c r="BF60" s="8" t="str">
        <x:f>IF(V60="","",IF(V60="Very poor",1,IF(V60="Poor",2,IF(V60="Average",3,IF(V60="Good",4,IF(V60="Very good",5,""))))))</x:f>
      </x:c>
      <x:c r="BG60" s="8" t="str">
        <x:f>IF(AB60="","",IF(AB60="Never",1,IF(AB60="Rarely",2,IF(AB60="Sometimes",3,IF(AB60="Often",4,IF(AB60="Always",5,""))))))</x:f>
      </x:c>
      <x:c r="BH60" s="8" t="str">
        <x:f>IF(AF60="","",IF(AF60="Very poor",1,IF(AF60="Poor",2,IF(AF60="Average",3,IF(AF60="Good",4,IF(AF60="Very good",5,""))))))</x:f>
      </x:c>
      <x:c r="BI60" s="8" t="str">
        <x:f>IF(AK60="","",IF(AK60="Very poor",1,IF(AK60="Poor",2,IF(AK60="Average",3,IF(AK60="Good",4,IF(AK60="Very good",5,""))))))</x:f>
      </x:c>
      <x:c r="BJ60" s="8" t="str">
        <x:f>IF(AT60="","",IF(AT60="Very poor",1,IF(AT60="Poor",2,IF(AT60="Average",3,IF(AT60="Good",4,IF(AT60="Very good",5,""))))))</x:f>
      </x:c>
      <x:c r="BK60" s="8"/>
    </x:row>
    <x:row r="61"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  <x:c r="AA61" s="8"/>
      <x:c r="AB61" s="8"/>
      <x:c r="AC61" s="8"/>
      <x:c r="AD61" s="8"/>
      <x:c r="AE61" s="8"/>
      <x:c r="AF61" s="8"/>
      <x:c r="AG61" s="8"/>
      <x:c r="AH61" s="8"/>
      <x:c r="AI61" s="8"/>
      <x:c r="AJ61" s="8"/>
      <x:c r="AK61" s="8"/>
      <x:c r="AL61" s="8"/>
      <x:c r="AM61" s="8"/>
      <x:c r="AN61" s="8"/>
      <x:c r="AO61" s="8"/>
      <x:c r="AP61" s="8"/>
      <x:c r="AQ61" s="8"/>
      <x:c r="AR61" s="8"/>
      <x:c r="AS61" s="8"/>
      <x:c r="AT61" s="8"/>
      <x:c r="AU61" s="8"/>
      <x:c r="AV61" s="8"/>
      <x:c r="AW61" s="8"/>
      <x:c r="AX61" s="8"/>
      <x:c r="AY61" s="8"/>
      <x:c r="AZ61" s="8" t="str">
        <x:f>IF(G61="","",IF(G61="Very poor",1,IF(G61="Poor",2,IF(G61="Average",3,IF(G61="Good",4,IF(G61="Very good",5,""))))))</x:f>
      </x:c>
      <x:c r="BA61" s="8" t="str">
        <x:f>IF(I61="","",IF(I61="Very poor",1,IF(I61="Poor",2,IF(I61="Average",3,IF(I61="Good",4,IF(I61="Very good",5,""))))))</x:f>
      </x:c>
      <x:c r="BB61" s="8" t="str">
        <x:f>IF(J61="","",IF(J61="Very poor",1,IF(J61="Poor",2,IF(J61="Average",3,IF(J61="Good",4,IF(J61="Very good",5,""))))))</x:f>
      </x:c>
      <x:c r="BC61" s="8" t="str">
        <x:f>IF(Q61="","",IF(Q61="Very poor",1,IF(Q61="Poor",2,IF(Q61="Average",3,IF(Q61="Effective",4,IF(Q61="Very effective",5,""))))))</x:f>
      </x:c>
      <x:c r="BD61" s="8" t="str">
        <x:f>IF(S61="","",IF(S61="Never",1,IF(S61="Rarely",2,IF(S61="Sometimes",3,IF(S61="Often",4,IF(S61="Always",5,""))))))</x:f>
      </x:c>
      <x:c r="BE61" s="8" t="str">
        <x:f>IF(U61="","",IF(U61="Very poor",1,IF(U61="Poor",2,IF(U61="Average",3,IF(U61="Good",4,IF(U61="Very good",5,""))))))</x:f>
      </x:c>
      <x:c r="BF61" s="8" t="str">
        <x:f>IF(V61="","",IF(V61="Very poor",1,IF(V61="Poor",2,IF(V61="Average",3,IF(V61="Good",4,IF(V61="Very good",5,""))))))</x:f>
      </x:c>
      <x:c r="BG61" s="8" t="str">
        <x:f>IF(AB61="","",IF(AB61="Never",1,IF(AB61="Rarely",2,IF(AB61="Sometimes",3,IF(AB61="Often",4,IF(AB61="Always",5,""))))))</x:f>
      </x:c>
      <x:c r="BH61" s="8" t="str">
        <x:f>IF(AF61="","",IF(AF61="Very poor",1,IF(AF61="Poor",2,IF(AF61="Average",3,IF(AF61="Good",4,IF(AF61="Very good",5,""))))))</x:f>
      </x:c>
      <x:c r="BI61" s="8" t="str">
        <x:f>IF(AK61="","",IF(AK61="Very poor",1,IF(AK61="Poor",2,IF(AK61="Average",3,IF(AK61="Good",4,IF(AK61="Very good",5,""))))))</x:f>
      </x:c>
      <x:c r="BJ61" s="8" t="str">
        <x:f>IF(AT61="","",IF(AT61="Very poor",1,IF(AT61="Poor",2,IF(AT61="Average",3,IF(AT61="Good",4,IF(AT61="Very good",5,""))))))</x:f>
      </x:c>
      <x:c r="BK61" s="8"/>
    </x:row>
    <x:row r="62"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  <x:c r="AA62" s="8"/>
      <x:c r="AB62" s="8"/>
      <x:c r="AC62" s="8"/>
      <x:c r="AD62" s="8"/>
      <x:c r="AE62" s="8"/>
      <x:c r="AF62" s="8"/>
      <x:c r="AG62" s="8"/>
      <x:c r="AH62" s="8"/>
      <x:c r="AI62" s="8"/>
      <x:c r="AJ62" s="8"/>
      <x:c r="AK62" s="8"/>
      <x:c r="AL62" s="8"/>
      <x:c r="AM62" s="8"/>
      <x:c r="AN62" s="8"/>
      <x:c r="AO62" s="8"/>
      <x:c r="AP62" s="8"/>
      <x:c r="AQ62" s="8"/>
      <x:c r="AR62" s="8"/>
      <x:c r="AS62" s="8"/>
      <x:c r="AT62" s="8"/>
      <x:c r="AU62" s="8"/>
      <x:c r="AV62" s="8"/>
      <x:c r="AW62" s="8"/>
      <x:c r="AX62" s="8"/>
      <x:c r="AY62" s="8"/>
      <x:c r="AZ62" s="8" t="str">
        <x:f>IF(G62="","",IF(G62="Very poor",1,IF(G62="Poor",2,IF(G62="Average",3,IF(G62="Good",4,IF(G62="Very good",5,""))))))</x:f>
      </x:c>
      <x:c r="BA62" s="8" t="str">
        <x:f>IF(I62="","",IF(I62="Very poor",1,IF(I62="Poor",2,IF(I62="Average",3,IF(I62="Good",4,IF(I62="Very good",5,""))))))</x:f>
      </x:c>
      <x:c r="BB62" s="8" t="str">
        <x:f>IF(J62="","",IF(J62="Very poor",1,IF(J62="Poor",2,IF(J62="Average",3,IF(J62="Good",4,IF(J62="Very good",5,""))))))</x:f>
      </x:c>
      <x:c r="BC62" s="8" t="str">
        <x:f>IF(Q62="","",IF(Q62="Very poor",1,IF(Q62="Poor",2,IF(Q62="Average",3,IF(Q62="Effective",4,IF(Q62="Very effective",5,""))))))</x:f>
      </x:c>
      <x:c r="BD62" s="8" t="str">
        <x:f>IF(S62="","",IF(S62="Never",1,IF(S62="Rarely",2,IF(S62="Sometimes",3,IF(S62="Often",4,IF(S62="Always",5,""))))))</x:f>
      </x:c>
      <x:c r="BE62" s="8" t="str">
        <x:f>IF(U62="","",IF(U62="Very poor",1,IF(U62="Poor",2,IF(U62="Average",3,IF(U62="Good",4,IF(U62="Very good",5,""))))))</x:f>
      </x:c>
      <x:c r="BF62" s="8" t="str">
        <x:f>IF(V62="","",IF(V62="Very poor",1,IF(V62="Poor",2,IF(V62="Average",3,IF(V62="Good",4,IF(V62="Very good",5,""))))))</x:f>
      </x:c>
      <x:c r="BG62" s="8" t="str">
        <x:f>IF(AB62="","",IF(AB62="Never",1,IF(AB62="Rarely",2,IF(AB62="Sometimes",3,IF(AB62="Often",4,IF(AB62="Always",5,""))))))</x:f>
      </x:c>
      <x:c r="BH62" s="8" t="str">
        <x:f>IF(AF62="","",IF(AF62="Very poor",1,IF(AF62="Poor",2,IF(AF62="Average",3,IF(AF62="Good",4,IF(AF62="Very good",5,""))))))</x:f>
      </x:c>
      <x:c r="BI62" s="8" t="str">
        <x:f>IF(AK62="","",IF(AK62="Very poor",1,IF(AK62="Poor",2,IF(AK62="Average",3,IF(AK62="Good",4,IF(AK62="Very good",5,""))))))</x:f>
      </x:c>
      <x:c r="BJ62" s="8" t="str">
        <x:f>IF(AT62="","",IF(AT62="Very poor",1,IF(AT62="Poor",2,IF(AT62="Average",3,IF(AT62="Good",4,IF(AT62="Very good",5,""))))))</x:f>
      </x:c>
      <x:c r="BK62" s="8"/>
    </x:row>
    <x:row r="63"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  <x:c r="AA63" s="8"/>
      <x:c r="AB63" s="8"/>
      <x:c r="AC63" s="8"/>
      <x:c r="AD63" s="8"/>
      <x:c r="AE63" s="8"/>
      <x:c r="AF63" s="8"/>
      <x:c r="AG63" s="8"/>
      <x:c r="AH63" s="8"/>
      <x:c r="AI63" s="8"/>
      <x:c r="AJ63" s="8"/>
      <x:c r="AK63" s="8"/>
      <x:c r="AL63" s="8"/>
      <x:c r="AM63" s="8"/>
      <x:c r="AN63" s="8"/>
      <x:c r="AO63" s="8"/>
      <x:c r="AP63" s="8"/>
      <x:c r="AQ63" s="8"/>
      <x:c r="AR63" s="8"/>
      <x:c r="AS63" s="8"/>
      <x:c r="AT63" s="8"/>
      <x:c r="AU63" s="8"/>
      <x:c r="AV63" s="8"/>
      <x:c r="AW63" s="8"/>
      <x:c r="AX63" s="8"/>
      <x:c r="AY63" s="8"/>
      <x:c r="AZ63" s="8" t="str">
        <x:f>IF(G63="","",IF(G63="Very poor",1,IF(G63="Poor",2,IF(G63="Average",3,IF(G63="Good",4,IF(G63="Very good",5,""))))))</x:f>
      </x:c>
      <x:c r="BA63" s="8" t="str">
        <x:f>IF(I63="","",IF(I63="Very poor",1,IF(I63="Poor",2,IF(I63="Average",3,IF(I63="Good",4,IF(I63="Very good",5,""))))))</x:f>
      </x:c>
      <x:c r="BB63" s="8" t="str">
        <x:f>IF(J63="","",IF(J63="Very poor",1,IF(J63="Poor",2,IF(J63="Average",3,IF(J63="Good",4,IF(J63="Very good",5,""))))))</x:f>
      </x:c>
      <x:c r="BC63" s="8" t="str">
        <x:f>IF(Q63="","",IF(Q63="Very poor",1,IF(Q63="Poor",2,IF(Q63="Average",3,IF(Q63="Effective",4,IF(Q63="Very effective",5,""))))))</x:f>
      </x:c>
      <x:c r="BD63" s="8" t="str">
        <x:f>IF(S63="","",IF(S63="Never",1,IF(S63="Rarely",2,IF(S63="Sometimes",3,IF(S63="Often",4,IF(S63="Always",5,""))))))</x:f>
      </x:c>
      <x:c r="BE63" s="8" t="str">
        <x:f>IF(U63="","",IF(U63="Very poor",1,IF(U63="Poor",2,IF(U63="Average",3,IF(U63="Good",4,IF(U63="Very good",5,""))))))</x:f>
      </x:c>
      <x:c r="BF63" s="8" t="str">
        <x:f>IF(V63="","",IF(V63="Very poor",1,IF(V63="Poor",2,IF(V63="Average",3,IF(V63="Good",4,IF(V63="Very good",5,""))))))</x:f>
      </x:c>
      <x:c r="BG63" s="8" t="str">
        <x:f>IF(AB63="","",IF(AB63="Never",1,IF(AB63="Rarely",2,IF(AB63="Sometimes",3,IF(AB63="Often",4,IF(AB63="Always",5,""))))))</x:f>
      </x:c>
      <x:c r="BH63" s="8" t="str">
        <x:f>IF(AF63="","",IF(AF63="Very poor",1,IF(AF63="Poor",2,IF(AF63="Average",3,IF(AF63="Good",4,IF(AF63="Very good",5,""))))))</x:f>
      </x:c>
      <x:c r="BI63" s="8" t="str">
        <x:f>IF(AK63="","",IF(AK63="Very poor",1,IF(AK63="Poor",2,IF(AK63="Average",3,IF(AK63="Good",4,IF(AK63="Very good",5,""))))))</x:f>
      </x:c>
      <x:c r="BJ63" s="8" t="str">
        <x:f>IF(AT63="","",IF(AT63="Very poor",1,IF(AT63="Poor",2,IF(AT63="Average",3,IF(AT63="Good",4,IF(AT63="Very good",5,""))))))</x:f>
      </x:c>
      <x:c r="BK63" s="8"/>
    </x:row>
    <x:row r="64"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  <x:c r="AA64" s="8"/>
      <x:c r="AB64" s="8"/>
      <x:c r="AC64" s="8"/>
      <x:c r="AD64" s="8"/>
      <x:c r="AE64" s="8"/>
      <x:c r="AF64" s="8"/>
      <x:c r="AG64" s="8"/>
      <x:c r="AH64" s="8"/>
      <x:c r="AI64" s="8"/>
      <x:c r="AJ64" s="8"/>
      <x:c r="AK64" s="8"/>
      <x:c r="AL64" s="8"/>
      <x:c r="AM64" s="8"/>
      <x:c r="AN64" s="8"/>
      <x:c r="AO64" s="8"/>
      <x:c r="AP64" s="8"/>
      <x:c r="AQ64" s="8"/>
      <x:c r="AR64" s="8"/>
      <x:c r="AS64" s="8"/>
      <x:c r="AT64" s="8"/>
      <x:c r="AU64" s="8"/>
      <x:c r="AV64" s="8"/>
      <x:c r="AW64" s="8"/>
      <x:c r="AX64" s="8"/>
      <x:c r="AY64" s="8"/>
      <x:c r="AZ64" s="8" t="str">
        <x:f>IF(G64="","",IF(G64="Very poor",1,IF(G64="Poor",2,IF(G64="Average",3,IF(G64="Good",4,IF(G64="Very good",5,""))))))</x:f>
      </x:c>
      <x:c r="BA64" s="8" t="str">
        <x:f>IF(I64="","",IF(I64="Very poor",1,IF(I64="Poor",2,IF(I64="Average",3,IF(I64="Good",4,IF(I64="Very good",5,""))))))</x:f>
      </x:c>
      <x:c r="BB64" s="8" t="str">
        <x:f>IF(J64="","",IF(J64="Very poor",1,IF(J64="Poor",2,IF(J64="Average",3,IF(J64="Good",4,IF(J64="Very good",5,""))))))</x:f>
      </x:c>
      <x:c r="BC64" s="8" t="str">
        <x:f>IF(Q64="","",IF(Q64="Very poor",1,IF(Q64="Poor",2,IF(Q64="Average",3,IF(Q64="Effective",4,IF(Q64="Very effective",5,""))))))</x:f>
      </x:c>
      <x:c r="BD64" s="8" t="str">
        <x:f>IF(S64="","",IF(S64="Never",1,IF(S64="Rarely",2,IF(S64="Sometimes",3,IF(S64="Often",4,IF(S64="Always",5,""))))))</x:f>
      </x:c>
      <x:c r="BE64" s="8" t="str">
        <x:f>IF(U64="","",IF(U64="Very poor",1,IF(U64="Poor",2,IF(U64="Average",3,IF(U64="Good",4,IF(U64="Very good",5,""))))))</x:f>
      </x:c>
      <x:c r="BF64" s="8" t="str">
        <x:f>IF(V64="","",IF(V64="Very poor",1,IF(V64="Poor",2,IF(V64="Average",3,IF(V64="Good",4,IF(V64="Very good",5,""))))))</x:f>
      </x:c>
      <x:c r="BG64" s="8" t="str">
        <x:f>IF(AB64="","",IF(AB64="Never",1,IF(AB64="Rarely",2,IF(AB64="Sometimes",3,IF(AB64="Often",4,IF(AB64="Always",5,""))))))</x:f>
      </x:c>
      <x:c r="BH64" s="8" t="str">
        <x:f>IF(AF64="","",IF(AF64="Very poor",1,IF(AF64="Poor",2,IF(AF64="Average",3,IF(AF64="Good",4,IF(AF64="Very good",5,""))))))</x:f>
      </x:c>
      <x:c r="BI64" s="8" t="str">
        <x:f>IF(AK64="","",IF(AK64="Very poor",1,IF(AK64="Poor",2,IF(AK64="Average",3,IF(AK64="Good",4,IF(AK64="Very good",5,""))))))</x:f>
      </x:c>
      <x:c r="BJ64" s="8" t="str">
        <x:f>IF(AT64="","",IF(AT64="Very poor",1,IF(AT64="Poor",2,IF(AT64="Average",3,IF(AT64="Good",4,IF(AT64="Very good",5,""))))))</x:f>
      </x:c>
      <x:c r="BK64" s="8"/>
    </x:row>
    <x:row r="65"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  <x:c r="AA65" s="8"/>
      <x:c r="AB65" s="8"/>
      <x:c r="AC65" s="8"/>
      <x:c r="AD65" s="8"/>
      <x:c r="AE65" s="8"/>
      <x:c r="AF65" s="8"/>
      <x:c r="AG65" s="8"/>
      <x:c r="AH65" s="8"/>
      <x:c r="AI65" s="8"/>
      <x:c r="AJ65" s="8"/>
      <x:c r="AK65" s="8"/>
      <x:c r="AL65" s="8"/>
      <x:c r="AM65" s="8"/>
      <x:c r="AN65" s="8"/>
      <x:c r="AO65" s="8"/>
      <x:c r="AP65" s="8"/>
      <x:c r="AQ65" s="8"/>
      <x:c r="AR65" s="8"/>
      <x:c r="AS65" s="8"/>
      <x:c r="AT65" s="8"/>
      <x:c r="AU65" s="8"/>
      <x:c r="AV65" s="8"/>
      <x:c r="AW65" s="8"/>
      <x:c r="AX65" s="8"/>
      <x:c r="AY65" s="8"/>
      <x:c r="AZ65" s="8" t="str">
        <x:f>IF(G65="","",IF(G65="Very poor",1,IF(G65="Poor",2,IF(G65="Average",3,IF(G65="Good",4,IF(G65="Very good",5,""))))))</x:f>
      </x:c>
      <x:c r="BA65" s="8" t="str">
        <x:f>IF(I65="","",IF(I65="Very poor",1,IF(I65="Poor",2,IF(I65="Average",3,IF(I65="Good",4,IF(I65="Very good",5,""))))))</x:f>
      </x:c>
      <x:c r="BB65" s="8" t="str">
        <x:f>IF(J65="","",IF(J65="Very poor",1,IF(J65="Poor",2,IF(J65="Average",3,IF(J65="Good",4,IF(J65="Very good",5,""))))))</x:f>
      </x:c>
      <x:c r="BC65" s="8" t="str">
        <x:f>IF(Q65="","",IF(Q65="Very poor",1,IF(Q65="Poor",2,IF(Q65="Average",3,IF(Q65="Effective",4,IF(Q65="Very effective",5,""))))))</x:f>
      </x:c>
      <x:c r="BD65" s="8" t="str">
        <x:f>IF(S65="","",IF(S65="Never",1,IF(S65="Rarely",2,IF(S65="Sometimes",3,IF(S65="Often",4,IF(S65="Always",5,""))))))</x:f>
      </x:c>
      <x:c r="BE65" s="8" t="str">
        <x:f>IF(U65="","",IF(U65="Very poor",1,IF(U65="Poor",2,IF(U65="Average",3,IF(U65="Good",4,IF(U65="Very good",5,""))))))</x:f>
      </x:c>
      <x:c r="BF65" s="8" t="str">
        <x:f>IF(V65="","",IF(V65="Very poor",1,IF(V65="Poor",2,IF(V65="Average",3,IF(V65="Good",4,IF(V65="Very good",5,""))))))</x:f>
      </x:c>
      <x:c r="BG65" s="8" t="str">
        <x:f>IF(AB65="","",IF(AB65="Never",1,IF(AB65="Rarely",2,IF(AB65="Sometimes",3,IF(AB65="Often",4,IF(AB65="Always",5,""))))))</x:f>
      </x:c>
      <x:c r="BH65" s="8" t="str">
        <x:f>IF(AF65="","",IF(AF65="Very poor",1,IF(AF65="Poor",2,IF(AF65="Average",3,IF(AF65="Good",4,IF(AF65="Very good",5,""))))))</x:f>
      </x:c>
      <x:c r="BI65" s="8" t="str">
        <x:f>IF(AK65="","",IF(AK65="Very poor",1,IF(AK65="Poor",2,IF(AK65="Average",3,IF(AK65="Good",4,IF(AK65="Very good",5,""))))))</x:f>
      </x:c>
      <x:c r="BJ65" s="8" t="str">
        <x:f>IF(AT65="","",IF(AT65="Very poor",1,IF(AT65="Poor",2,IF(AT65="Average",3,IF(AT65="Good",4,IF(AT65="Very good",5,""))))))</x:f>
      </x:c>
      <x:c r="BK65" s="8"/>
    </x:row>
    <x:row r="66"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  <x:c r="AA66" s="8"/>
      <x:c r="AB66" s="8"/>
      <x:c r="AC66" s="8"/>
      <x:c r="AD66" s="8"/>
      <x:c r="AE66" s="8"/>
      <x:c r="AF66" s="8"/>
      <x:c r="AG66" s="8"/>
      <x:c r="AH66" s="8"/>
      <x:c r="AI66" s="8"/>
      <x:c r="AJ66" s="8"/>
      <x:c r="AK66" s="8"/>
      <x:c r="AL66" s="8"/>
      <x:c r="AM66" s="8"/>
      <x:c r="AN66" s="8"/>
      <x:c r="AO66" s="8"/>
      <x:c r="AP66" s="8"/>
      <x:c r="AQ66" s="8"/>
      <x:c r="AR66" s="8"/>
      <x:c r="AS66" s="8"/>
      <x:c r="AT66" s="8"/>
      <x:c r="AU66" s="8"/>
      <x:c r="AV66" s="8"/>
      <x:c r="AW66" s="8"/>
      <x:c r="AX66" s="8"/>
      <x:c r="AY66" s="8"/>
      <x:c r="AZ66" s="8" t="str">
        <x:f>IF(G66="","",IF(G66="Very poor",1,IF(G66="Poor",2,IF(G66="Average",3,IF(G66="Good",4,IF(G66="Very good",5,""))))))</x:f>
      </x:c>
      <x:c r="BA66" s="8" t="str">
        <x:f>IF(I66="","",IF(I66="Very poor",1,IF(I66="Poor",2,IF(I66="Average",3,IF(I66="Good",4,IF(I66="Very good",5,""))))))</x:f>
      </x:c>
      <x:c r="BB66" s="8" t="str">
        <x:f>IF(J66="","",IF(J66="Very poor",1,IF(J66="Poor",2,IF(J66="Average",3,IF(J66="Good",4,IF(J66="Very good",5,""))))))</x:f>
      </x:c>
      <x:c r="BC66" s="8" t="str">
        <x:f>IF(Q66="","",IF(Q66="Very poor",1,IF(Q66="Poor",2,IF(Q66="Average",3,IF(Q66="Effective",4,IF(Q66="Very effective",5,""))))))</x:f>
      </x:c>
      <x:c r="BD66" s="8" t="str">
        <x:f>IF(S66="","",IF(S66="Never",1,IF(S66="Rarely",2,IF(S66="Sometimes",3,IF(S66="Often",4,IF(S66="Always",5,""))))))</x:f>
      </x:c>
      <x:c r="BE66" s="8" t="str">
        <x:f>IF(U66="","",IF(U66="Very poor",1,IF(U66="Poor",2,IF(U66="Average",3,IF(U66="Good",4,IF(U66="Very good",5,""))))))</x:f>
      </x:c>
      <x:c r="BF66" s="8" t="str">
        <x:f>IF(V66="","",IF(V66="Very poor",1,IF(V66="Poor",2,IF(V66="Average",3,IF(V66="Good",4,IF(V66="Very good",5,""))))))</x:f>
      </x:c>
      <x:c r="BG66" s="8" t="str">
        <x:f>IF(AB66="","",IF(AB66="Never",1,IF(AB66="Rarely",2,IF(AB66="Sometimes",3,IF(AB66="Often",4,IF(AB66="Always",5,""))))))</x:f>
      </x:c>
      <x:c r="BH66" s="8" t="str">
        <x:f>IF(AF66="","",IF(AF66="Very poor",1,IF(AF66="Poor",2,IF(AF66="Average",3,IF(AF66="Good",4,IF(AF66="Very good",5,""))))))</x:f>
      </x:c>
      <x:c r="BI66" s="8" t="str">
        <x:f>IF(AK66="","",IF(AK66="Very poor",1,IF(AK66="Poor",2,IF(AK66="Average",3,IF(AK66="Good",4,IF(AK66="Very good",5,""))))))</x:f>
      </x:c>
      <x:c r="BJ66" s="8" t="str">
        <x:f>IF(AT66="","",IF(AT66="Very poor",1,IF(AT66="Poor",2,IF(AT66="Average",3,IF(AT66="Good",4,IF(AT66="Very good",5,""))))))</x:f>
      </x:c>
      <x:c r="BK66" s="8"/>
    </x:row>
    <x:row r="67"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  <x:c r="AA67" s="8"/>
      <x:c r="AB67" s="8"/>
      <x:c r="AC67" s="8"/>
      <x:c r="AD67" s="8"/>
      <x:c r="AE67" s="8"/>
      <x:c r="AF67" s="8"/>
      <x:c r="AG67" s="8"/>
      <x:c r="AH67" s="8"/>
      <x:c r="AI67" s="8"/>
      <x:c r="AJ67" s="8"/>
      <x:c r="AK67" s="8"/>
      <x:c r="AL67" s="8"/>
      <x:c r="AM67" s="8"/>
      <x:c r="AN67" s="8"/>
      <x:c r="AO67" s="8"/>
      <x:c r="AP67" s="8"/>
      <x:c r="AQ67" s="8"/>
      <x:c r="AR67" s="8"/>
      <x:c r="AS67" s="8"/>
      <x:c r="AT67" s="8"/>
      <x:c r="AU67" s="8"/>
      <x:c r="AV67" s="8"/>
      <x:c r="AW67" s="8"/>
      <x:c r="AX67" s="8"/>
      <x:c r="AY67" s="8"/>
      <x:c r="AZ67" s="8" t="str">
        <x:f>IF(G67="","",IF(G67="Very poor",1,IF(G67="Poor",2,IF(G67="Average",3,IF(G67="Good",4,IF(G67="Very good",5,""))))))</x:f>
      </x:c>
      <x:c r="BA67" s="8" t="str">
        <x:f>IF(I67="","",IF(I67="Very poor",1,IF(I67="Poor",2,IF(I67="Average",3,IF(I67="Good",4,IF(I67="Very good",5,""))))))</x:f>
      </x:c>
      <x:c r="BB67" s="8" t="str">
        <x:f>IF(J67="","",IF(J67="Very poor",1,IF(J67="Poor",2,IF(J67="Average",3,IF(J67="Good",4,IF(J67="Very good",5,""))))))</x:f>
      </x:c>
      <x:c r="BC67" s="8" t="str">
        <x:f>IF(Q67="","",IF(Q67="Very poor",1,IF(Q67="Poor",2,IF(Q67="Average",3,IF(Q67="Effective",4,IF(Q67="Very effective",5,""))))))</x:f>
      </x:c>
      <x:c r="BD67" s="8" t="str">
        <x:f>IF(S67="","",IF(S67="Never",1,IF(S67="Rarely",2,IF(S67="Sometimes",3,IF(S67="Often",4,IF(S67="Always",5,""))))))</x:f>
      </x:c>
      <x:c r="BE67" s="8" t="str">
        <x:f>IF(U67="","",IF(U67="Very poor",1,IF(U67="Poor",2,IF(U67="Average",3,IF(U67="Good",4,IF(U67="Very good",5,""))))))</x:f>
      </x:c>
      <x:c r="BF67" s="8" t="str">
        <x:f>IF(V67="","",IF(V67="Very poor",1,IF(V67="Poor",2,IF(V67="Average",3,IF(V67="Good",4,IF(V67="Very good",5,""))))))</x:f>
      </x:c>
      <x:c r="BG67" s="8" t="str">
        <x:f>IF(AB67="","",IF(AB67="Never",1,IF(AB67="Rarely",2,IF(AB67="Sometimes",3,IF(AB67="Often",4,IF(AB67="Always",5,""))))))</x:f>
      </x:c>
      <x:c r="BH67" s="8" t="str">
        <x:f>IF(AF67="","",IF(AF67="Very poor",1,IF(AF67="Poor",2,IF(AF67="Average",3,IF(AF67="Good",4,IF(AF67="Very good",5,""))))))</x:f>
      </x:c>
      <x:c r="BI67" s="8" t="str">
        <x:f>IF(AK67="","",IF(AK67="Very poor",1,IF(AK67="Poor",2,IF(AK67="Average",3,IF(AK67="Good",4,IF(AK67="Very good",5,""))))))</x:f>
      </x:c>
      <x:c r="BJ67" s="8" t="str">
        <x:f>IF(AT67="","",IF(AT67="Very poor",1,IF(AT67="Poor",2,IF(AT67="Average",3,IF(AT67="Good",4,IF(AT67="Very good",5,""))))))</x:f>
      </x:c>
      <x:c r="BK67" s="8"/>
    </x:row>
    <x:row r="68"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  <x:c r="AA68" s="8"/>
      <x:c r="AB68" s="8"/>
      <x:c r="AC68" s="8"/>
      <x:c r="AD68" s="8"/>
      <x:c r="AE68" s="8"/>
      <x:c r="AF68" s="8"/>
      <x:c r="AG68" s="8"/>
      <x:c r="AH68" s="8"/>
      <x:c r="AI68" s="8"/>
      <x:c r="AJ68" s="8"/>
      <x:c r="AK68" s="8"/>
      <x:c r="AL68" s="8"/>
      <x:c r="AM68" s="8"/>
      <x:c r="AN68" s="8"/>
      <x:c r="AO68" s="8"/>
      <x:c r="AP68" s="8"/>
      <x:c r="AQ68" s="8"/>
      <x:c r="AR68" s="8"/>
      <x:c r="AS68" s="8"/>
      <x:c r="AT68" s="8"/>
      <x:c r="AU68" s="8"/>
      <x:c r="AV68" s="8"/>
      <x:c r="AW68" s="8"/>
      <x:c r="AX68" s="8"/>
      <x:c r="AY68" s="8"/>
      <x:c r="AZ68" s="8" t="str">
        <x:f>IF(G68="","",IF(G68="Very poor",1,IF(G68="Poor",2,IF(G68="Average",3,IF(G68="Good",4,IF(G68="Very good",5,""))))))</x:f>
      </x:c>
      <x:c r="BA68" s="8" t="str">
        <x:f>IF(I68="","",IF(I68="Very poor",1,IF(I68="Poor",2,IF(I68="Average",3,IF(I68="Good",4,IF(I68="Very good",5,""))))))</x:f>
      </x:c>
      <x:c r="BB68" s="8" t="str">
        <x:f>IF(J68="","",IF(J68="Very poor",1,IF(J68="Poor",2,IF(J68="Average",3,IF(J68="Good",4,IF(J68="Very good",5,""))))))</x:f>
      </x:c>
      <x:c r="BC68" s="8" t="str">
        <x:f>IF(Q68="","",IF(Q68="Very poor",1,IF(Q68="Poor",2,IF(Q68="Average",3,IF(Q68="Effective",4,IF(Q68="Very effective",5,""))))))</x:f>
      </x:c>
      <x:c r="BD68" s="8" t="str">
        <x:f>IF(S68="","",IF(S68="Never",1,IF(S68="Rarely",2,IF(S68="Sometimes",3,IF(S68="Often",4,IF(S68="Always",5,""))))))</x:f>
      </x:c>
      <x:c r="BE68" s="8" t="str">
        <x:f>IF(U68="","",IF(U68="Very poor",1,IF(U68="Poor",2,IF(U68="Average",3,IF(U68="Good",4,IF(U68="Very good",5,""))))))</x:f>
      </x:c>
      <x:c r="BF68" s="8" t="str">
        <x:f>IF(V68="","",IF(V68="Very poor",1,IF(V68="Poor",2,IF(V68="Average",3,IF(V68="Good",4,IF(V68="Very good",5,""))))))</x:f>
      </x:c>
      <x:c r="BG68" s="8" t="str">
        <x:f>IF(AB68="","",IF(AB68="Never",1,IF(AB68="Rarely",2,IF(AB68="Sometimes",3,IF(AB68="Often",4,IF(AB68="Always",5,""))))))</x:f>
      </x:c>
      <x:c r="BH68" s="8" t="str">
        <x:f>IF(AF68="","",IF(AF68="Very poor",1,IF(AF68="Poor",2,IF(AF68="Average",3,IF(AF68="Good",4,IF(AF68="Very good",5,""))))))</x:f>
      </x:c>
      <x:c r="BI68" s="8" t="str">
        <x:f>IF(AK68="","",IF(AK68="Very poor",1,IF(AK68="Poor",2,IF(AK68="Average",3,IF(AK68="Good",4,IF(AK68="Very good",5,""))))))</x:f>
      </x:c>
      <x:c r="BJ68" s="8" t="str">
        <x:f>IF(AT68="","",IF(AT68="Very poor",1,IF(AT68="Poor",2,IF(AT68="Average",3,IF(AT68="Good",4,IF(AT68="Very good",5,""))))))</x:f>
      </x:c>
      <x:c r="BK68" s="8"/>
    </x:row>
    <x:row r="69"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  <x:c r="AA69" s="8"/>
      <x:c r="AB69" s="8"/>
      <x:c r="AC69" s="8"/>
      <x:c r="AD69" s="8"/>
      <x:c r="AE69" s="8"/>
      <x:c r="AF69" s="8"/>
      <x:c r="AG69" s="8"/>
      <x:c r="AH69" s="8"/>
      <x:c r="AI69" s="8"/>
      <x:c r="AJ69" s="8"/>
      <x:c r="AK69" s="8"/>
      <x:c r="AL69" s="8"/>
      <x:c r="AM69" s="8"/>
      <x:c r="AN69" s="8"/>
      <x:c r="AO69" s="8"/>
      <x:c r="AP69" s="8"/>
      <x:c r="AQ69" s="8"/>
      <x:c r="AR69" s="8"/>
      <x:c r="AS69" s="8"/>
      <x:c r="AT69" s="8"/>
      <x:c r="AU69" s="8"/>
      <x:c r="AV69" s="8"/>
      <x:c r="AW69" s="8"/>
      <x:c r="AX69" s="8"/>
      <x:c r="AY69" s="8"/>
      <x:c r="AZ69" s="8" t="str">
        <x:f>IF(G69="","",IF(G69="Very poor",1,IF(G69="Poor",2,IF(G69="Average",3,IF(G69="Good",4,IF(G69="Very good",5,""))))))</x:f>
      </x:c>
      <x:c r="BA69" s="8" t="str">
        <x:f>IF(I69="","",IF(I69="Very poor",1,IF(I69="Poor",2,IF(I69="Average",3,IF(I69="Good",4,IF(I69="Very good",5,""))))))</x:f>
      </x:c>
      <x:c r="BB69" s="8" t="str">
        <x:f>IF(J69="","",IF(J69="Very poor",1,IF(J69="Poor",2,IF(J69="Average",3,IF(J69="Good",4,IF(J69="Very good",5,""))))))</x:f>
      </x:c>
      <x:c r="BC69" s="8" t="str">
        <x:f>IF(Q69="","",IF(Q69="Very poor",1,IF(Q69="Poor",2,IF(Q69="Average",3,IF(Q69="Effective",4,IF(Q69="Very effective",5,""))))))</x:f>
      </x:c>
      <x:c r="BD69" s="8" t="str">
        <x:f>IF(S69="","",IF(S69="Never",1,IF(S69="Rarely",2,IF(S69="Sometimes",3,IF(S69="Often",4,IF(S69="Always",5,""))))))</x:f>
      </x:c>
      <x:c r="BE69" s="8" t="str">
        <x:f>IF(U69="","",IF(U69="Very poor",1,IF(U69="Poor",2,IF(U69="Average",3,IF(U69="Good",4,IF(U69="Very good",5,""))))))</x:f>
      </x:c>
      <x:c r="BF69" s="8" t="str">
        <x:f>IF(V69="","",IF(V69="Very poor",1,IF(V69="Poor",2,IF(V69="Average",3,IF(V69="Good",4,IF(V69="Very good",5,""))))))</x:f>
      </x:c>
      <x:c r="BG69" s="8" t="str">
        <x:f>IF(AB69="","",IF(AB69="Never",1,IF(AB69="Rarely",2,IF(AB69="Sometimes",3,IF(AB69="Often",4,IF(AB69="Always",5,""))))))</x:f>
      </x:c>
      <x:c r="BH69" s="8" t="str">
        <x:f>IF(AF69="","",IF(AF69="Very poor",1,IF(AF69="Poor",2,IF(AF69="Average",3,IF(AF69="Good",4,IF(AF69="Very good",5,""))))))</x:f>
      </x:c>
      <x:c r="BI69" s="8" t="str">
        <x:f>IF(AK69="","",IF(AK69="Very poor",1,IF(AK69="Poor",2,IF(AK69="Average",3,IF(AK69="Good",4,IF(AK69="Very good",5,""))))))</x:f>
      </x:c>
      <x:c r="BJ69" s="8" t="str">
        <x:f>IF(AT69="","",IF(AT69="Very poor",1,IF(AT69="Poor",2,IF(AT69="Average",3,IF(AT69="Good",4,IF(AT69="Very good",5,""))))))</x:f>
      </x:c>
      <x:c r="BK69" s="8"/>
    </x:row>
    <x:row r="70"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  <x:c r="AA70" s="8"/>
      <x:c r="AB70" s="8"/>
      <x:c r="AC70" s="8"/>
      <x:c r="AD70" s="8"/>
      <x:c r="AE70" s="8"/>
      <x:c r="AF70" s="8"/>
      <x:c r="AG70" s="8"/>
      <x:c r="AH70" s="8"/>
      <x:c r="AI70" s="8"/>
      <x:c r="AJ70" s="8"/>
      <x:c r="AK70" s="8"/>
      <x:c r="AL70" s="8"/>
      <x:c r="AM70" s="8"/>
      <x:c r="AN70" s="8"/>
      <x:c r="AO70" s="8"/>
      <x:c r="AP70" s="8"/>
      <x:c r="AQ70" s="8"/>
      <x:c r="AR70" s="8"/>
      <x:c r="AS70" s="8"/>
      <x:c r="AT70" s="8"/>
      <x:c r="AU70" s="8"/>
      <x:c r="AV70" s="8"/>
      <x:c r="AW70" s="8"/>
      <x:c r="AX70" s="8"/>
      <x:c r="AY70" s="8"/>
      <x:c r="AZ70" s="8" t="str">
        <x:f>IF(G70="","",IF(G70="Very poor",1,IF(G70="Poor",2,IF(G70="Average",3,IF(G70="Good",4,IF(G70="Very good",5,""))))))</x:f>
      </x:c>
      <x:c r="BA70" s="8" t="str">
        <x:f>IF(I70="","",IF(I70="Very poor",1,IF(I70="Poor",2,IF(I70="Average",3,IF(I70="Good",4,IF(I70="Very good",5,""))))))</x:f>
      </x:c>
      <x:c r="BB70" s="8" t="str">
        <x:f>IF(J70="","",IF(J70="Very poor",1,IF(J70="Poor",2,IF(J70="Average",3,IF(J70="Good",4,IF(J70="Very good",5,""))))))</x:f>
      </x:c>
      <x:c r="BC70" s="8" t="str">
        <x:f>IF(Q70="","",IF(Q70="Very poor",1,IF(Q70="Poor",2,IF(Q70="Average",3,IF(Q70="Effective",4,IF(Q70="Very effective",5,""))))))</x:f>
      </x:c>
      <x:c r="BD70" s="8" t="str">
        <x:f>IF(S70="","",IF(S70="Never",1,IF(S70="Rarely",2,IF(S70="Sometimes",3,IF(S70="Often",4,IF(S70="Always",5,""))))))</x:f>
      </x:c>
      <x:c r="BE70" s="8" t="str">
        <x:f>IF(U70="","",IF(U70="Very poor",1,IF(U70="Poor",2,IF(U70="Average",3,IF(U70="Good",4,IF(U70="Very good",5,""))))))</x:f>
      </x:c>
      <x:c r="BF70" s="8" t="str">
        <x:f>IF(V70="","",IF(V70="Very poor",1,IF(V70="Poor",2,IF(V70="Average",3,IF(V70="Good",4,IF(V70="Very good",5,""))))))</x:f>
      </x:c>
      <x:c r="BG70" s="8" t="str">
        <x:f>IF(AB70="","",IF(AB70="Never",1,IF(AB70="Rarely",2,IF(AB70="Sometimes",3,IF(AB70="Often",4,IF(AB70="Always",5,""))))))</x:f>
      </x:c>
      <x:c r="BH70" s="8" t="str">
        <x:f>IF(AF70="","",IF(AF70="Very poor",1,IF(AF70="Poor",2,IF(AF70="Average",3,IF(AF70="Good",4,IF(AF70="Very good",5,""))))))</x:f>
      </x:c>
      <x:c r="BI70" s="8" t="str">
        <x:f>IF(AK70="","",IF(AK70="Very poor",1,IF(AK70="Poor",2,IF(AK70="Average",3,IF(AK70="Good",4,IF(AK70="Very good",5,""))))))</x:f>
      </x:c>
      <x:c r="BJ70" s="8" t="str">
        <x:f>IF(AT70="","",IF(AT70="Very poor",1,IF(AT70="Poor",2,IF(AT70="Average",3,IF(AT70="Good",4,IF(AT70="Very good",5,""))))))</x:f>
      </x:c>
      <x:c r="BK70" s="8"/>
    </x:row>
    <x:row r="71"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  <x:c r="AA71" s="8"/>
      <x:c r="AB71" s="8"/>
      <x:c r="AC71" s="8"/>
      <x:c r="AD71" s="8"/>
      <x:c r="AE71" s="8"/>
      <x:c r="AF71" s="8"/>
      <x:c r="AG71" s="8"/>
      <x:c r="AH71" s="8"/>
      <x:c r="AI71" s="8"/>
      <x:c r="AJ71" s="8"/>
      <x:c r="AK71" s="8"/>
      <x:c r="AL71" s="8"/>
      <x:c r="AM71" s="8"/>
      <x:c r="AN71" s="8"/>
      <x:c r="AO71" s="8"/>
      <x:c r="AP71" s="8"/>
      <x:c r="AQ71" s="8"/>
      <x:c r="AR71" s="8"/>
      <x:c r="AS71" s="8"/>
      <x:c r="AT71" s="8"/>
      <x:c r="AU71" s="8"/>
      <x:c r="AV71" s="8"/>
      <x:c r="AW71" s="8"/>
      <x:c r="AX71" s="8"/>
      <x:c r="AY71" s="8"/>
      <x:c r="AZ71" s="8" t="str">
        <x:f>IF(G71="","",IF(G71="Very poor",1,IF(G71="Poor",2,IF(G71="Average",3,IF(G71="Good",4,IF(G71="Very good",5,""))))))</x:f>
      </x:c>
      <x:c r="BA71" s="8" t="str">
        <x:f>IF(I71="","",IF(I71="Very poor",1,IF(I71="Poor",2,IF(I71="Average",3,IF(I71="Good",4,IF(I71="Very good",5,""))))))</x:f>
      </x:c>
      <x:c r="BB71" s="8" t="str">
        <x:f>IF(J71="","",IF(J71="Very poor",1,IF(J71="Poor",2,IF(J71="Average",3,IF(J71="Good",4,IF(J71="Very good",5,""))))))</x:f>
      </x:c>
      <x:c r="BC71" s="8" t="str">
        <x:f>IF(Q71="","",IF(Q71="Very poor",1,IF(Q71="Poor",2,IF(Q71="Average",3,IF(Q71="Effective",4,IF(Q71="Very effective",5,""))))))</x:f>
      </x:c>
      <x:c r="BD71" s="8" t="str">
        <x:f>IF(S71="","",IF(S71="Never",1,IF(S71="Rarely",2,IF(S71="Sometimes",3,IF(S71="Often",4,IF(S71="Always",5,""))))))</x:f>
      </x:c>
      <x:c r="BE71" s="8" t="str">
        <x:f>IF(U71="","",IF(U71="Very poor",1,IF(U71="Poor",2,IF(U71="Average",3,IF(U71="Good",4,IF(U71="Very good",5,""))))))</x:f>
      </x:c>
      <x:c r="BF71" s="8" t="str">
        <x:f>IF(V71="","",IF(V71="Very poor",1,IF(V71="Poor",2,IF(V71="Average",3,IF(V71="Good",4,IF(V71="Very good",5,""))))))</x:f>
      </x:c>
      <x:c r="BG71" s="8" t="str">
        <x:f>IF(AB71="","",IF(AB71="Never",1,IF(AB71="Rarely",2,IF(AB71="Sometimes",3,IF(AB71="Often",4,IF(AB71="Always",5,""))))))</x:f>
      </x:c>
      <x:c r="BH71" s="8" t="str">
        <x:f>IF(AF71="","",IF(AF71="Very poor",1,IF(AF71="Poor",2,IF(AF71="Average",3,IF(AF71="Good",4,IF(AF71="Very good",5,""))))))</x:f>
      </x:c>
      <x:c r="BI71" s="8" t="str">
        <x:f>IF(AK71="","",IF(AK71="Very poor",1,IF(AK71="Poor",2,IF(AK71="Average",3,IF(AK71="Good",4,IF(AK71="Very good",5,""))))))</x:f>
      </x:c>
      <x:c r="BJ71" s="8" t="str">
        <x:f>IF(AT71="","",IF(AT71="Very poor",1,IF(AT71="Poor",2,IF(AT71="Average",3,IF(AT71="Good",4,IF(AT71="Very good",5,""))))))</x:f>
      </x:c>
      <x:c r="BK71" s="8"/>
    </x:row>
    <x:row r="72"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  <x:c r="AA72" s="8"/>
      <x:c r="AB72" s="8"/>
      <x:c r="AC72" s="8"/>
      <x:c r="AD72" s="8"/>
      <x:c r="AE72" s="8"/>
      <x:c r="AF72" s="8"/>
      <x:c r="AG72" s="8"/>
      <x:c r="AH72" s="8"/>
      <x:c r="AI72" s="8"/>
      <x:c r="AJ72" s="8"/>
      <x:c r="AK72" s="8"/>
      <x:c r="AL72" s="8"/>
      <x:c r="AM72" s="8"/>
      <x:c r="AN72" s="8"/>
      <x:c r="AO72" s="8"/>
      <x:c r="AP72" s="8"/>
      <x:c r="AQ72" s="8"/>
      <x:c r="AR72" s="8"/>
      <x:c r="AS72" s="8"/>
      <x:c r="AT72" s="8"/>
      <x:c r="AU72" s="8"/>
      <x:c r="AV72" s="8"/>
      <x:c r="AW72" s="8"/>
      <x:c r="AX72" s="8"/>
      <x:c r="AY72" s="8"/>
      <x:c r="AZ72" s="8" t="str">
        <x:f>IF(G72="","",IF(G72="Very poor",1,IF(G72="Poor",2,IF(G72="Average",3,IF(G72="Good",4,IF(G72="Very good",5,""))))))</x:f>
      </x:c>
      <x:c r="BA72" s="8" t="str">
        <x:f>IF(I72="","",IF(I72="Very poor",1,IF(I72="Poor",2,IF(I72="Average",3,IF(I72="Good",4,IF(I72="Very good",5,""))))))</x:f>
      </x:c>
      <x:c r="BB72" s="8" t="str">
        <x:f>IF(J72="","",IF(J72="Very poor",1,IF(J72="Poor",2,IF(J72="Average",3,IF(J72="Good",4,IF(J72="Very good",5,""))))))</x:f>
      </x:c>
      <x:c r="BC72" s="8" t="str">
        <x:f>IF(Q72="","",IF(Q72="Very poor",1,IF(Q72="Poor",2,IF(Q72="Average",3,IF(Q72="Effective",4,IF(Q72="Very effective",5,""))))))</x:f>
      </x:c>
      <x:c r="BD72" s="8" t="str">
        <x:f>IF(S72="","",IF(S72="Never",1,IF(S72="Rarely",2,IF(S72="Sometimes",3,IF(S72="Often",4,IF(S72="Always",5,""))))))</x:f>
      </x:c>
      <x:c r="BE72" s="8" t="str">
        <x:f>IF(U72="","",IF(U72="Very poor",1,IF(U72="Poor",2,IF(U72="Average",3,IF(U72="Good",4,IF(U72="Very good",5,""))))))</x:f>
      </x:c>
      <x:c r="BF72" s="8" t="str">
        <x:f>IF(V72="","",IF(V72="Very poor",1,IF(V72="Poor",2,IF(V72="Average",3,IF(V72="Good",4,IF(V72="Very good",5,""))))))</x:f>
      </x:c>
      <x:c r="BG72" s="8" t="str">
        <x:f>IF(AB72="","",IF(AB72="Never",1,IF(AB72="Rarely",2,IF(AB72="Sometimes",3,IF(AB72="Often",4,IF(AB72="Always",5,""))))))</x:f>
      </x:c>
      <x:c r="BH72" s="8" t="str">
        <x:f>IF(AF72="","",IF(AF72="Very poor",1,IF(AF72="Poor",2,IF(AF72="Average",3,IF(AF72="Good",4,IF(AF72="Very good",5,""))))))</x:f>
      </x:c>
      <x:c r="BI72" s="8" t="str">
        <x:f>IF(AK72="","",IF(AK72="Very poor",1,IF(AK72="Poor",2,IF(AK72="Average",3,IF(AK72="Good",4,IF(AK72="Very good",5,""))))))</x:f>
      </x:c>
      <x:c r="BJ72" s="8" t="str">
        <x:f>IF(AT72="","",IF(AT72="Very poor",1,IF(AT72="Poor",2,IF(AT72="Average",3,IF(AT72="Good",4,IF(AT72="Very good",5,""))))))</x:f>
      </x:c>
      <x:c r="BK72" s="8"/>
    </x:row>
    <x:row r="73"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  <x:c r="AA73" s="8"/>
      <x:c r="AB73" s="8"/>
      <x:c r="AC73" s="8"/>
      <x:c r="AD73" s="8"/>
      <x:c r="AE73" s="8"/>
      <x:c r="AF73" s="8"/>
      <x:c r="AG73" s="8"/>
      <x:c r="AH73" s="8"/>
      <x:c r="AI73" s="8"/>
      <x:c r="AJ73" s="8"/>
      <x:c r="AK73" s="8"/>
      <x:c r="AL73" s="8"/>
      <x:c r="AM73" s="8"/>
      <x:c r="AN73" s="8"/>
      <x:c r="AO73" s="8"/>
      <x:c r="AP73" s="8"/>
      <x:c r="AQ73" s="8"/>
      <x:c r="AR73" s="8"/>
      <x:c r="AS73" s="8"/>
      <x:c r="AT73" s="8"/>
      <x:c r="AU73" s="8"/>
      <x:c r="AV73" s="8"/>
      <x:c r="AW73" s="8"/>
      <x:c r="AX73" s="8"/>
      <x:c r="AY73" s="8"/>
      <x:c r="AZ73" s="8" t="str">
        <x:f>IF(G73="","",IF(G73="Very poor",1,IF(G73="Poor",2,IF(G73="Average",3,IF(G73="Good",4,IF(G73="Very good",5,""))))))</x:f>
      </x:c>
      <x:c r="BA73" s="8" t="str">
        <x:f>IF(I73="","",IF(I73="Very poor",1,IF(I73="Poor",2,IF(I73="Average",3,IF(I73="Good",4,IF(I73="Very good",5,""))))))</x:f>
      </x:c>
      <x:c r="BB73" s="8" t="str">
        <x:f>IF(J73="","",IF(J73="Very poor",1,IF(J73="Poor",2,IF(J73="Average",3,IF(J73="Good",4,IF(J73="Very good",5,""))))))</x:f>
      </x:c>
      <x:c r="BC73" s="8" t="str">
        <x:f>IF(Q73="","",IF(Q73="Very poor",1,IF(Q73="Poor",2,IF(Q73="Average",3,IF(Q73="Effective",4,IF(Q73="Very effective",5,""))))))</x:f>
      </x:c>
      <x:c r="BD73" s="8" t="str">
        <x:f>IF(S73="","",IF(S73="Never",1,IF(S73="Rarely",2,IF(S73="Sometimes",3,IF(S73="Often",4,IF(S73="Always",5,""))))))</x:f>
      </x:c>
      <x:c r="BE73" s="8" t="str">
        <x:f>IF(U73="","",IF(U73="Very poor",1,IF(U73="Poor",2,IF(U73="Average",3,IF(U73="Good",4,IF(U73="Very good",5,""))))))</x:f>
      </x:c>
      <x:c r="BF73" s="8" t="str">
        <x:f>IF(V73="","",IF(V73="Very poor",1,IF(V73="Poor",2,IF(V73="Average",3,IF(V73="Good",4,IF(V73="Very good",5,""))))))</x:f>
      </x:c>
      <x:c r="BG73" s="8" t="str">
        <x:f>IF(AB73="","",IF(AB73="Never",1,IF(AB73="Rarely",2,IF(AB73="Sometimes",3,IF(AB73="Often",4,IF(AB73="Always",5,""))))))</x:f>
      </x:c>
      <x:c r="BH73" s="8" t="str">
        <x:f>IF(AF73="","",IF(AF73="Very poor",1,IF(AF73="Poor",2,IF(AF73="Average",3,IF(AF73="Good",4,IF(AF73="Very good",5,""))))))</x:f>
      </x:c>
      <x:c r="BI73" s="8" t="str">
        <x:f>IF(AK73="","",IF(AK73="Very poor",1,IF(AK73="Poor",2,IF(AK73="Average",3,IF(AK73="Good",4,IF(AK73="Very good",5,""))))))</x:f>
      </x:c>
      <x:c r="BJ73" s="8" t="str">
        <x:f>IF(AT73="","",IF(AT73="Very poor",1,IF(AT73="Poor",2,IF(AT73="Average",3,IF(AT73="Good",4,IF(AT73="Very good",5,""))))))</x:f>
      </x:c>
      <x:c r="BK73" s="8"/>
    </x:row>
    <x:row r="74"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  <x:c r="AA74" s="8"/>
      <x:c r="AB74" s="8"/>
      <x:c r="AC74" s="8"/>
      <x:c r="AD74" s="8"/>
      <x:c r="AE74" s="8"/>
      <x:c r="AF74" s="8"/>
      <x:c r="AG74" s="8"/>
      <x:c r="AH74" s="8"/>
      <x:c r="AI74" s="8"/>
      <x:c r="AJ74" s="8"/>
      <x:c r="AK74" s="8"/>
      <x:c r="AL74" s="8"/>
      <x:c r="AM74" s="8"/>
      <x:c r="AN74" s="8"/>
      <x:c r="AO74" s="8"/>
      <x:c r="AP74" s="8"/>
      <x:c r="AQ74" s="8"/>
      <x:c r="AR74" s="8"/>
      <x:c r="AS74" s="8"/>
      <x:c r="AT74" s="8"/>
      <x:c r="AU74" s="8"/>
      <x:c r="AV74" s="8"/>
      <x:c r="AW74" s="8"/>
      <x:c r="AX74" s="8"/>
      <x:c r="AY74" s="8"/>
      <x:c r="AZ74" s="8" t="str">
        <x:f>IF(G74="","",IF(G74="Very poor",1,IF(G74="Poor",2,IF(G74="Average",3,IF(G74="Good",4,IF(G74="Very good",5,""))))))</x:f>
      </x:c>
      <x:c r="BA74" s="8" t="str">
        <x:f>IF(I74="","",IF(I74="Very poor",1,IF(I74="Poor",2,IF(I74="Average",3,IF(I74="Good",4,IF(I74="Very good",5,""))))))</x:f>
      </x:c>
      <x:c r="BB74" s="8" t="str">
        <x:f>IF(J74="","",IF(J74="Very poor",1,IF(J74="Poor",2,IF(J74="Average",3,IF(J74="Good",4,IF(J74="Very good",5,""))))))</x:f>
      </x:c>
      <x:c r="BC74" s="8" t="str">
        <x:f>IF(Q74="","",IF(Q74="Very poor",1,IF(Q74="Poor",2,IF(Q74="Average",3,IF(Q74="Effective",4,IF(Q74="Very effective",5,""))))))</x:f>
      </x:c>
      <x:c r="BD74" s="8" t="str">
        <x:f>IF(S74="","",IF(S74="Never",1,IF(S74="Rarely",2,IF(S74="Sometimes",3,IF(S74="Often",4,IF(S74="Always",5,""))))))</x:f>
      </x:c>
      <x:c r="BE74" s="8" t="str">
        <x:f>IF(U74="","",IF(U74="Very poor",1,IF(U74="Poor",2,IF(U74="Average",3,IF(U74="Good",4,IF(U74="Very good",5,""))))))</x:f>
      </x:c>
      <x:c r="BF74" s="8" t="str">
        <x:f>IF(V74="","",IF(V74="Very poor",1,IF(V74="Poor",2,IF(V74="Average",3,IF(V74="Good",4,IF(V74="Very good",5,""))))))</x:f>
      </x:c>
      <x:c r="BG74" s="8" t="str">
        <x:f>IF(AB74="","",IF(AB74="Never",1,IF(AB74="Rarely",2,IF(AB74="Sometimes",3,IF(AB74="Often",4,IF(AB74="Always",5,""))))))</x:f>
      </x:c>
      <x:c r="BH74" s="8" t="str">
        <x:f>IF(AF74="","",IF(AF74="Very poor",1,IF(AF74="Poor",2,IF(AF74="Average",3,IF(AF74="Good",4,IF(AF74="Very good",5,""))))))</x:f>
      </x:c>
      <x:c r="BI74" s="8" t="str">
        <x:f>IF(AK74="","",IF(AK74="Very poor",1,IF(AK74="Poor",2,IF(AK74="Average",3,IF(AK74="Good",4,IF(AK74="Very good",5,""))))))</x:f>
      </x:c>
      <x:c r="BJ74" s="8" t="str">
        <x:f>IF(AT74="","",IF(AT74="Very poor",1,IF(AT74="Poor",2,IF(AT74="Average",3,IF(AT74="Good",4,IF(AT74="Very good",5,""))))))</x:f>
      </x:c>
      <x:c r="BK74" s="8"/>
    </x:row>
    <x:row r="75"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  <x:c r="AA75" s="8"/>
      <x:c r="AB75" s="8"/>
      <x:c r="AC75" s="8"/>
      <x:c r="AD75" s="8"/>
      <x:c r="AE75" s="8"/>
      <x:c r="AF75" s="8"/>
      <x:c r="AG75" s="8"/>
      <x:c r="AH75" s="8"/>
      <x:c r="AI75" s="8"/>
      <x:c r="AJ75" s="8"/>
      <x:c r="AK75" s="8"/>
      <x:c r="AL75" s="8"/>
      <x:c r="AM75" s="8"/>
      <x:c r="AN75" s="8"/>
      <x:c r="AO75" s="8"/>
      <x:c r="AP75" s="8"/>
      <x:c r="AQ75" s="8"/>
      <x:c r="AR75" s="8"/>
      <x:c r="AS75" s="8"/>
      <x:c r="AT75" s="8"/>
      <x:c r="AU75" s="8"/>
      <x:c r="AV75" s="8"/>
      <x:c r="AW75" s="8"/>
      <x:c r="AX75" s="8"/>
      <x:c r="AY75" s="8"/>
      <x:c r="AZ75" s="8" t="str">
        <x:f>IF(G75="","",IF(G75="Very poor",1,IF(G75="Poor",2,IF(G75="Average",3,IF(G75="Good",4,IF(G75="Very good",5,""))))))</x:f>
      </x:c>
      <x:c r="BA75" s="8" t="str">
        <x:f>IF(I75="","",IF(I75="Very poor",1,IF(I75="Poor",2,IF(I75="Average",3,IF(I75="Good",4,IF(I75="Very good",5,""))))))</x:f>
      </x:c>
      <x:c r="BB75" s="8" t="str">
        <x:f>IF(J75="","",IF(J75="Very poor",1,IF(J75="Poor",2,IF(J75="Average",3,IF(J75="Good",4,IF(J75="Very good",5,""))))))</x:f>
      </x:c>
      <x:c r="BC75" s="8" t="str">
        <x:f>IF(Q75="","",IF(Q75="Very poor",1,IF(Q75="Poor",2,IF(Q75="Average",3,IF(Q75="Effective",4,IF(Q75="Very effective",5,""))))))</x:f>
      </x:c>
      <x:c r="BD75" s="8" t="str">
        <x:f>IF(S75="","",IF(S75="Never",1,IF(S75="Rarely",2,IF(S75="Sometimes",3,IF(S75="Often",4,IF(S75="Always",5,""))))))</x:f>
      </x:c>
      <x:c r="BE75" s="8" t="str">
        <x:f>IF(U75="","",IF(U75="Very poor",1,IF(U75="Poor",2,IF(U75="Average",3,IF(U75="Good",4,IF(U75="Very good",5,""))))))</x:f>
      </x:c>
      <x:c r="BF75" s="8" t="str">
        <x:f>IF(V75="","",IF(V75="Very poor",1,IF(V75="Poor",2,IF(V75="Average",3,IF(V75="Good",4,IF(V75="Very good",5,""))))))</x:f>
      </x:c>
      <x:c r="BG75" s="8" t="str">
        <x:f>IF(AB75="","",IF(AB75="Never",1,IF(AB75="Rarely",2,IF(AB75="Sometimes",3,IF(AB75="Often",4,IF(AB75="Always",5,""))))))</x:f>
      </x:c>
      <x:c r="BH75" s="8" t="str">
        <x:f>IF(AF75="","",IF(AF75="Very poor",1,IF(AF75="Poor",2,IF(AF75="Average",3,IF(AF75="Good",4,IF(AF75="Very good",5,""))))))</x:f>
      </x:c>
      <x:c r="BI75" s="8" t="str">
        <x:f>IF(AK75="","",IF(AK75="Very poor",1,IF(AK75="Poor",2,IF(AK75="Average",3,IF(AK75="Good",4,IF(AK75="Very good",5,""))))))</x:f>
      </x:c>
      <x:c r="BJ75" s="8" t="str">
        <x:f>IF(AT75="","",IF(AT75="Very poor",1,IF(AT75="Poor",2,IF(AT75="Average",3,IF(AT75="Good",4,IF(AT75="Very good",5,""))))))</x:f>
      </x:c>
      <x:c r="BK75" s="8"/>
    </x:row>
    <x:row r="76"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  <x:c r="AA76" s="8"/>
      <x:c r="AB76" s="8"/>
      <x:c r="AC76" s="8"/>
      <x:c r="AD76" s="8"/>
      <x:c r="AE76" s="8"/>
      <x:c r="AF76" s="8"/>
      <x:c r="AG76" s="8"/>
      <x:c r="AH76" s="8"/>
      <x:c r="AI76" s="8"/>
      <x:c r="AJ76" s="8"/>
      <x:c r="AK76" s="8"/>
      <x:c r="AL76" s="8"/>
      <x:c r="AM76" s="8"/>
      <x:c r="AN76" s="8"/>
      <x:c r="AO76" s="8"/>
      <x:c r="AP76" s="8"/>
      <x:c r="AQ76" s="8"/>
      <x:c r="AR76" s="8"/>
      <x:c r="AS76" s="8"/>
      <x:c r="AT76" s="8"/>
      <x:c r="AU76" s="8"/>
      <x:c r="AV76" s="8"/>
      <x:c r="AW76" s="8"/>
      <x:c r="AX76" s="8"/>
      <x:c r="AY76" s="8"/>
      <x:c r="AZ76" s="8" t="str">
        <x:f>IF(G76="","",IF(G76="Very poor",1,IF(G76="Poor",2,IF(G76="Average",3,IF(G76="Good",4,IF(G76="Very good",5,""))))))</x:f>
      </x:c>
      <x:c r="BA76" s="8" t="str">
        <x:f>IF(I76="","",IF(I76="Very poor",1,IF(I76="Poor",2,IF(I76="Average",3,IF(I76="Good",4,IF(I76="Very good",5,""))))))</x:f>
      </x:c>
      <x:c r="BB76" s="8" t="str">
        <x:f>IF(J76="","",IF(J76="Very poor",1,IF(J76="Poor",2,IF(J76="Average",3,IF(J76="Good",4,IF(J76="Very good",5,""))))))</x:f>
      </x:c>
      <x:c r="BC76" s="8" t="str">
        <x:f>IF(Q76="","",IF(Q76="Very poor",1,IF(Q76="Poor",2,IF(Q76="Average",3,IF(Q76="Effective",4,IF(Q76="Very effective",5,""))))))</x:f>
      </x:c>
      <x:c r="BD76" s="8" t="str">
        <x:f>IF(S76="","",IF(S76="Never",1,IF(S76="Rarely",2,IF(S76="Sometimes",3,IF(S76="Often",4,IF(S76="Always",5,""))))))</x:f>
      </x:c>
      <x:c r="BE76" s="8" t="str">
        <x:f>IF(U76="","",IF(U76="Very poor",1,IF(U76="Poor",2,IF(U76="Average",3,IF(U76="Good",4,IF(U76="Very good",5,""))))))</x:f>
      </x:c>
      <x:c r="BF76" s="8" t="str">
        <x:f>IF(V76="","",IF(V76="Very poor",1,IF(V76="Poor",2,IF(V76="Average",3,IF(V76="Good",4,IF(V76="Very good",5,""))))))</x:f>
      </x:c>
      <x:c r="BG76" s="8" t="str">
        <x:f>IF(AB76="","",IF(AB76="Never",1,IF(AB76="Rarely",2,IF(AB76="Sometimes",3,IF(AB76="Often",4,IF(AB76="Always",5,""))))))</x:f>
      </x:c>
      <x:c r="BH76" s="8" t="str">
        <x:f>IF(AF76="","",IF(AF76="Very poor",1,IF(AF76="Poor",2,IF(AF76="Average",3,IF(AF76="Good",4,IF(AF76="Very good",5,""))))))</x:f>
      </x:c>
      <x:c r="BI76" s="8" t="str">
        <x:f>IF(AK76="","",IF(AK76="Very poor",1,IF(AK76="Poor",2,IF(AK76="Average",3,IF(AK76="Good",4,IF(AK76="Very good",5,""))))))</x:f>
      </x:c>
      <x:c r="BJ76" s="8" t="str">
        <x:f>IF(AT76="","",IF(AT76="Very poor",1,IF(AT76="Poor",2,IF(AT76="Average",3,IF(AT76="Good",4,IF(AT76="Very good",5,""))))))</x:f>
      </x:c>
      <x:c r="BK76" s="8"/>
    </x:row>
    <x:row r="77"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  <x:c r="AA77" s="8"/>
      <x:c r="AB77" s="8"/>
      <x:c r="AC77" s="8"/>
      <x:c r="AD77" s="8"/>
      <x:c r="AE77" s="8"/>
      <x:c r="AF77" s="8"/>
      <x:c r="AG77" s="8"/>
      <x:c r="AH77" s="8"/>
      <x:c r="AI77" s="8"/>
      <x:c r="AJ77" s="8"/>
      <x:c r="AK77" s="8"/>
      <x:c r="AL77" s="8"/>
      <x:c r="AM77" s="8"/>
      <x:c r="AN77" s="8"/>
      <x:c r="AO77" s="8"/>
      <x:c r="AP77" s="8"/>
      <x:c r="AQ77" s="8"/>
      <x:c r="AR77" s="8"/>
      <x:c r="AS77" s="8"/>
      <x:c r="AT77" s="8"/>
      <x:c r="AU77" s="8"/>
      <x:c r="AV77" s="8"/>
      <x:c r="AW77" s="8"/>
      <x:c r="AX77" s="8"/>
      <x:c r="AY77" s="8"/>
      <x:c r="AZ77" s="8" t="str">
        <x:f>IF(G77="","",IF(G77="Very poor",1,IF(G77="Poor",2,IF(G77="Average",3,IF(G77="Good",4,IF(G77="Very good",5,""))))))</x:f>
      </x:c>
      <x:c r="BA77" s="8" t="str">
        <x:f>IF(I77="","",IF(I77="Very poor",1,IF(I77="Poor",2,IF(I77="Average",3,IF(I77="Good",4,IF(I77="Very good",5,""))))))</x:f>
      </x:c>
      <x:c r="BB77" s="8" t="str">
        <x:f>IF(J77="","",IF(J77="Very poor",1,IF(J77="Poor",2,IF(J77="Average",3,IF(J77="Good",4,IF(J77="Very good",5,""))))))</x:f>
      </x:c>
      <x:c r="BC77" s="8" t="str">
        <x:f>IF(Q77="","",IF(Q77="Very poor",1,IF(Q77="Poor",2,IF(Q77="Average",3,IF(Q77="Effective",4,IF(Q77="Very effective",5,""))))))</x:f>
      </x:c>
      <x:c r="BD77" s="8" t="str">
        <x:f>IF(S77="","",IF(S77="Never",1,IF(S77="Rarely",2,IF(S77="Sometimes",3,IF(S77="Often",4,IF(S77="Always",5,""))))))</x:f>
      </x:c>
      <x:c r="BE77" s="8" t="str">
        <x:f>IF(U77="","",IF(U77="Very poor",1,IF(U77="Poor",2,IF(U77="Average",3,IF(U77="Good",4,IF(U77="Very good",5,""))))))</x:f>
      </x:c>
      <x:c r="BF77" s="8" t="str">
        <x:f>IF(V77="","",IF(V77="Very poor",1,IF(V77="Poor",2,IF(V77="Average",3,IF(V77="Good",4,IF(V77="Very good",5,""))))))</x:f>
      </x:c>
      <x:c r="BG77" s="8" t="str">
        <x:f>IF(AB77="","",IF(AB77="Never",1,IF(AB77="Rarely",2,IF(AB77="Sometimes",3,IF(AB77="Often",4,IF(AB77="Always",5,""))))))</x:f>
      </x:c>
      <x:c r="BH77" s="8" t="str">
        <x:f>IF(AF77="","",IF(AF77="Very poor",1,IF(AF77="Poor",2,IF(AF77="Average",3,IF(AF77="Good",4,IF(AF77="Very good",5,""))))))</x:f>
      </x:c>
      <x:c r="BI77" s="8" t="str">
        <x:f>IF(AK77="","",IF(AK77="Very poor",1,IF(AK77="Poor",2,IF(AK77="Average",3,IF(AK77="Good",4,IF(AK77="Very good",5,""))))))</x:f>
      </x:c>
      <x:c r="BJ77" s="8" t="str">
        <x:f>IF(AT77="","",IF(AT77="Very poor",1,IF(AT77="Poor",2,IF(AT77="Average",3,IF(AT77="Good",4,IF(AT77="Very good",5,""))))))</x:f>
      </x:c>
      <x:c r="BK77" s="8"/>
    </x:row>
    <x:row r="78"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  <x:c r="AA78" s="8"/>
      <x:c r="AB78" s="8"/>
      <x:c r="AC78" s="8"/>
      <x:c r="AD78" s="8"/>
      <x:c r="AE78" s="8"/>
      <x:c r="AF78" s="8"/>
      <x:c r="AG78" s="8"/>
      <x:c r="AH78" s="8"/>
      <x:c r="AI78" s="8"/>
      <x:c r="AJ78" s="8"/>
      <x:c r="AK78" s="8"/>
      <x:c r="AL78" s="8"/>
      <x:c r="AM78" s="8"/>
      <x:c r="AN78" s="8"/>
      <x:c r="AO78" s="8"/>
      <x:c r="AP78" s="8"/>
      <x:c r="AQ78" s="8"/>
      <x:c r="AR78" s="8"/>
      <x:c r="AS78" s="8"/>
      <x:c r="AT78" s="8"/>
      <x:c r="AU78" s="8"/>
      <x:c r="AV78" s="8"/>
      <x:c r="AW78" s="8"/>
      <x:c r="AX78" s="8"/>
      <x:c r="AY78" s="8"/>
      <x:c r="AZ78" s="8" t="str">
        <x:f>IF(G78="","",IF(G78="Very poor",1,IF(G78="Poor",2,IF(G78="Average",3,IF(G78="Good",4,IF(G78="Very good",5,""))))))</x:f>
      </x:c>
      <x:c r="BA78" s="8" t="str">
        <x:f>IF(I78="","",IF(I78="Very poor",1,IF(I78="Poor",2,IF(I78="Average",3,IF(I78="Good",4,IF(I78="Very good",5,""))))))</x:f>
      </x:c>
      <x:c r="BB78" s="8" t="str">
        <x:f>IF(J78="","",IF(J78="Very poor",1,IF(J78="Poor",2,IF(J78="Average",3,IF(J78="Good",4,IF(J78="Very good",5,""))))))</x:f>
      </x:c>
      <x:c r="BC78" s="8" t="str">
        <x:f>IF(Q78="","",IF(Q78="Very poor",1,IF(Q78="Poor",2,IF(Q78="Average",3,IF(Q78="Effective",4,IF(Q78="Very effective",5,""))))))</x:f>
      </x:c>
      <x:c r="BD78" s="8" t="str">
        <x:f>IF(S78="","",IF(S78="Never",1,IF(S78="Rarely",2,IF(S78="Sometimes",3,IF(S78="Often",4,IF(S78="Always",5,""))))))</x:f>
      </x:c>
      <x:c r="BE78" s="8" t="str">
        <x:f>IF(U78="","",IF(U78="Very poor",1,IF(U78="Poor",2,IF(U78="Average",3,IF(U78="Good",4,IF(U78="Very good",5,""))))))</x:f>
      </x:c>
      <x:c r="BF78" s="8" t="str">
        <x:f>IF(V78="","",IF(V78="Very poor",1,IF(V78="Poor",2,IF(V78="Average",3,IF(V78="Good",4,IF(V78="Very good",5,""))))))</x:f>
      </x:c>
      <x:c r="BG78" s="8" t="str">
        <x:f>IF(AB78="","",IF(AB78="Never",1,IF(AB78="Rarely",2,IF(AB78="Sometimes",3,IF(AB78="Often",4,IF(AB78="Always",5,""))))))</x:f>
      </x:c>
      <x:c r="BH78" s="8" t="str">
        <x:f>IF(AF78="","",IF(AF78="Very poor",1,IF(AF78="Poor",2,IF(AF78="Average",3,IF(AF78="Good",4,IF(AF78="Very good",5,""))))))</x:f>
      </x:c>
      <x:c r="BI78" s="8" t="str">
        <x:f>IF(AK78="","",IF(AK78="Very poor",1,IF(AK78="Poor",2,IF(AK78="Average",3,IF(AK78="Good",4,IF(AK78="Very good",5,""))))))</x:f>
      </x:c>
      <x:c r="BJ78" s="8" t="str">
        <x:f>IF(AT78="","",IF(AT78="Very poor",1,IF(AT78="Poor",2,IF(AT78="Average",3,IF(AT78="Good",4,IF(AT78="Very good",5,""))))))</x:f>
      </x:c>
      <x:c r="BK78" s="8"/>
    </x:row>
    <x:row r="79"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  <x:c r="AA79" s="8"/>
      <x:c r="AB79" s="8"/>
      <x:c r="AC79" s="8"/>
      <x:c r="AD79" s="8"/>
      <x:c r="AE79" s="8"/>
      <x:c r="AF79" s="8"/>
      <x:c r="AG79" s="8"/>
      <x:c r="AH79" s="8"/>
      <x:c r="AI79" s="8"/>
      <x:c r="AJ79" s="8"/>
      <x:c r="AK79" s="8"/>
      <x:c r="AL79" s="8"/>
      <x:c r="AM79" s="8"/>
      <x:c r="AN79" s="8"/>
      <x:c r="AO79" s="8"/>
      <x:c r="AP79" s="8"/>
      <x:c r="AQ79" s="8"/>
      <x:c r="AR79" s="8"/>
      <x:c r="AS79" s="8"/>
      <x:c r="AT79" s="8"/>
      <x:c r="AU79" s="8"/>
      <x:c r="AV79" s="8"/>
      <x:c r="AW79" s="8"/>
      <x:c r="AX79" s="8"/>
      <x:c r="AY79" s="8"/>
      <x:c r="AZ79" s="8" t="str">
        <x:f>IF(G79="","",IF(G79="Very poor",1,IF(G79="Poor",2,IF(G79="Average",3,IF(G79="Good",4,IF(G79="Very good",5,""))))))</x:f>
      </x:c>
      <x:c r="BA79" s="8" t="str">
        <x:f>IF(I79="","",IF(I79="Very poor",1,IF(I79="Poor",2,IF(I79="Average",3,IF(I79="Good",4,IF(I79="Very good",5,""))))))</x:f>
      </x:c>
      <x:c r="BB79" s="8" t="str">
        <x:f>IF(J79="","",IF(J79="Very poor",1,IF(J79="Poor",2,IF(J79="Average",3,IF(J79="Good",4,IF(J79="Very good",5,""))))))</x:f>
      </x:c>
      <x:c r="BC79" s="8" t="str">
        <x:f>IF(Q79="","",IF(Q79="Very poor",1,IF(Q79="Poor",2,IF(Q79="Average",3,IF(Q79="Effective",4,IF(Q79="Very effective",5,""))))))</x:f>
      </x:c>
      <x:c r="BD79" s="8" t="str">
        <x:f>IF(S79="","",IF(S79="Never",1,IF(S79="Rarely",2,IF(S79="Sometimes",3,IF(S79="Often",4,IF(S79="Always",5,""))))))</x:f>
      </x:c>
      <x:c r="BE79" s="8" t="str">
        <x:f>IF(U79="","",IF(U79="Very poor",1,IF(U79="Poor",2,IF(U79="Average",3,IF(U79="Good",4,IF(U79="Very good",5,""))))))</x:f>
      </x:c>
      <x:c r="BF79" s="8" t="str">
        <x:f>IF(V79="","",IF(V79="Very poor",1,IF(V79="Poor",2,IF(V79="Average",3,IF(V79="Good",4,IF(V79="Very good",5,""))))))</x:f>
      </x:c>
      <x:c r="BG79" s="8" t="str">
        <x:f>IF(AB79="","",IF(AB79="Never",1,IF(AB79="Rarely",2,IF(AB79="Sometimes",3,IF(AB79="Often",4,IF(AB79="Always",5,""))))))</x:f>
      </x:c>
      <x:c r="BH79" s="8" t="str">
        <x:f>IF(AF79="","",IF(AF79="Very poor",1,IF(AF79="Poor",2,IF(AF79="Average",3,IF(AF79="Good",4,IF(AF79="Very good",5,""))))))</x:f>
      </x:c>
      <x:c r="BI79" s="8" t="str">
        <x:f>IF(AK79="","",IF(AK79="Very poor",1,IF(AK79="Poor",2,IF(AK79="Average",3,IF(AK79="Good",4,IF(AK79="Very good",5,""))))))</x:f>
      </x:c>
      <x:c r="BJ79" s="8" t="str">
        <x:f>IF(AT79="","",IF(AT79="Very poor",1,IF(AT79="Poor",2,IF(AT79="Average",3,IF(AT79="Good",4,IF(AT79="Very good",5,""))))))</x:f>
      </x:c>
      <x:c r="BK79" s="8"/>
    </x:row>
    <x:row r="80"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  <x:c r="AA80" s="8"/>
      <x:c r="AB80" s="8"/>
      <x:c r="AC80" s="8"/>
      <x:c r="AD80" s="8"/>
      <x:c r="AE80" s="8"/>
      <x:c r="AF80" s="8"/>
      <x:c r="AG80" s="8"/>
      <x:c r="AH80" s="8"/>
      <x:c r="AI80" s="8"/>
      <x:c r="AJ80" s="8"/>
      <x:c r="AK80" s="8"/>
      <x:c r="AL80" s="8"/>
      <x:c r="AM80" s="8"/>
      <x:c r="AN80" s="8"/>
      <x:c r="AO80" s="8"/>
      <x:c r="AP80" s="8"/>
      <x:c r="AQ80" s="8"/>
      <x:c r="AR80" s="8"/>
      <x:c r="AS80" s="8"/>
      <x:c r="AT80" s="8"/>
      <x:c r="AU80" s="8"/>
      <x:c r="AV80" s="8"/>
      <x:c r="AW80" s="8"/>
      <x:c r="AX80" s="8"/>
      <x:c r="AY80" s="8"/>
      <x:c r="AZ80" s="8" t="str">
        <x:f>IF(G80="","",IF(G80="Very poor",1,IF(G80="Poor",2,IF(G80="Average",3,IF(G80="Good",4,IF(G80="Very good",5,""))))))</x:f>
      </x:c>
      <x:c r="BA80" s="8" t="str">
        <x:f>IF(I80="","",IF(I80="Very poor",1,IF(I80="Poor",2,IF(I80="Average",3,IF(I80="Good",4,IF(I80="Very good",5,""))))))</x:f>
      </x:c>
      <x:c r="BB80" s="8" t="str">
        <x:f>IF(J80="","",IF(J80="Very poor",1,IF(J80="Poor",2,IF(J80="Average",3,IF(J80="Good",4,IF(J80="Very good",5,""))))))</x:f>
      </x:c>
      <x:c r="BC80" s="8" t="str">
        <x:f>IF(Q80="","",IF(Q80="Very poor",1,IF(Q80="Poor",2,IF(Q80="Average",3,IF(Q80="Effective",4,IF(Q80="Very effective",5,""))))))</x:f>
      </x:c>
      <x:c r="BD80" s="8" t="str">
        <x:f>IF(S80="","",IF(S80="Never",1,IF(S80="Rarely",2,IF(S80="Sometimes",3,IF(S80="Often",4,IF(S80="Always",5,""))))))</x:f>
      </x:c>
      <x:c r="BE80" s="8" t="str">
        <x:f>IF(U80="","",IF(U80="Very poor",1,IF(U80="Poor",2,IF(U80="Average",3,IF(U80="Good",4,IF(U80="Very good",5,""))))))</x:f>
      </x:c>
      <x:c r="BF80" s="8" t="str">
        <x:f>IF(V80="","",IF(V80="Very poor",1,IF(V80="Poor",2,IF(V80="Average",3,IF(V80="Good",4,IF(V80="Very good",5,""))))))</x:f>
      </x:c>
      <x:c r="BG80" s="8" t="str">
        <x:f>IF(AB80="","",IF(AB80="Never",1,IF(AB80="Rarely",2,IF(AB80="Sometimes",3,IF(AB80="Often",4,IF(AB80="Always",5,""))))))</x:f>
      </x:c>
      <x:c r="BH80" s="8" t="str">
        <x:f>IF(AF80="","",IF(AF80="Very poor",1,IF(AF80="Poor",2,IF(AF80="Average",3,IF(AF80="Good",4,IF(AF80="Very good",5,""))))))</x:f>
      </x:c>
      <x:c r="BI80" s="8" t="str">
        <x:f>IF(AK80="","",IF(AK80="Very poor",1,IF(AK80="Poor",2,IF(AK80="Average",3,IF(AK80="Good",4,IF(AK80="Very good",5,""))))))</x:f>
      </x:c>
      <x:c r="BJ80" s="8" t="str">
        <x:f>IF(AT80="","",IF(AT80="Very poor",1,IF(AT80="Poor",2,IF(AT80="Average",3,IF(AT80="Good",4,IF(AT80="Very good",5,""))))))</x:f>
      </x:c>
      <x:c r="BK80" s="8"/>
    </x:row>
    <x:row r="81"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  <x:c r="AA81" s="8"/>
      <x:c r="AB81" s="8"/>
      <x:c r="AC81" s="8"/>
      <x:c r="AD81" s="8"/>
      <x:c r="AE81" s="8"/>
      <x:c r="AF81" s="8"/>
      <x:c r="AG81" s="8"/>
      <x:c r="AH81" s="8"/>
      <x:c r="AI81" s="8"/>
      <x:c r="AJ81" s="8"/>
      <x:c r="AK81" s="8"/>
      <x:c r="AL81" s="8"/>
      <x:c r="AM81" s="8"/>
      <x:c r="AN81" s="8"/>
      <x:c r="AO81" s="8"/>
      <x:c r="AP81" s="8"/>
      <x:c r="AQ81" s="8"/>
      <x:c r="AR81" s="8"/>
      <x:c r="AS81" s="8"/>
      <x:c r="AT81" s="8"/>
      <x:c r="AU81" s="8"/>
      <x:c r="AV81" s="8"/>
      <x:c r="AW81" s="8"/>
      <x:c r="AX81" s="8"/>
      <x:c r="AY81" s="8"/>
      <x:c r="AZ81" s="8" t="str">
        <x:f>IF(G81="","",IF(G81="Very poor",1,IF(G81="Poor",2,IF(G81="Average",3,IF(G81="Good",4,IF(G81="Very good",5,""))))))</x:f>
      </x:c>
      <x:c r="BA81" s="8" t="str">
        <x:f>IF(I81="","",IF(I81="Very poor",1,IF(I81="Poor",2,IF(I81="Average",3,IF(I81="Good",4,IF(I81="Very good",5,""))))))</x:f>
      </x:c>
      <x:c r="BB81" s="8" t="str">
        <x:f>IF(J81="","",IF(J81="Very poor",1,IF(J81="Poor",2,IF(J81="Average",3,IF(J81="Good",4,IF(J81="Very good",5,""))))))</x:f>
      </x:c>
      <x:c r="BC81" s="8" t="str">
        <x:f>IF(Q81="","",IF(Q81="Very poor",1,IF(Q81="Poor",2,IF(Q81="Average",3,IF(Q81="Effective",4,IF(Q81="Very effective",5,""))))))</x:f>
      </x:c>
      <x:c r="BD81" s="8" t="str">
        <x:f>IF(S81="","",IF(S81="Never",1,IF(S81="Rarely",2,IF(S81="Sometimes",3,IF(S81="Often",4,IF(S81="Always",5,""))))))</x:f>
      </x:c>
      <x:c r="BE81" s="8" t="str">
        <x:f>IF(U81="","",IF(U81="Very poor",1,IF(U81="Poor",2,IF(U81="Average",3,IF(U81="Good",4,IF(U81="Very good",5,""))))))</x:f>
      </x:c>
      <x:c r="BF81" s="8" t="str">
        <x:f>IF(V81="","",IF(V81="Very poor",1,IF(V81="Poor",2,IF(V81="Average",3,IF(V81="Good",4,IF(V81="Very good",5,""))))))</x:f>
      </x:c>
      <x:c r="BG81" s="8" t="str">
        <x:f>IF(AB81="","",IF(AB81="Never",1,IF(AB81="Rarely",2,IF(AB81="Sometimes",3,IF(AB81="Often",4,IF(AB81="Always",5,""))))))</x:f>
      </x:c>
      <x:c r="BH81" s="8" t="str">
        <x:f>IF(AF81="","",IF(AF81="Very poor",1,IF(AF81="Poor",2,IF(AF81="Average",3,IF(AF81="Good",4,IF(AF81="Very good",5,""))))))</x:f>
      </x:c>
      <x:c r="BI81" s="8" t="str">
        <x:f>IF(AK81="","",IF(AK81="Very poor",1,IF(AK81="Poor",2,IF(AK81="Average",3,IF(AK81="Good",4,IF(AK81="Very good",5,""))))))</x:f>
      </x:c>
      <x:c r="BJ81" s="8" t="str">
        <x:f>IF(AT81="","",IF(AT81="Very poor",1,IF(AT81="Poor",2,IF(AT81="Average",3,IF(AT81="Good",4,IF(AT81="Very good",5,""))))))</x:f>
      </x:c>
      <x:c r="BK81" s="8"/>
    </x:row>
    <x:row r="82"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  <x:c r="AA82" s="8"/>
      <x:c r="AB82" s="8"/>
      <x:c r="AC82" s="8"/>
      <x:c r="AD82" s="8"/>
      <x:c r="AE82" s="8"/>
      <x:c r="AF82" s="8"/>
      <x:c r="AG82" s="8"/>
      <x:c r="AH82" s="8"/>
      <x:c r="AI82" s="8"/>
      <x:c r="AJ82" s="8"/>
      <x:c r="AK82" s="8"/>
      <x:c r="AL82" s="8"/>
      <x:c r="AM82" s="8"/>
      <x:c r="AN82" s="8"/>
      <x:c r="AO82" s="8"/>
      <x:c r="AP82" s="8"/>
      <x:c r="AQ82" s="8"/>
      <x:c r="AR82" s="8"/>
      <x:c r="AS82" s="8"/>
      <x:c r="AT82" s="8"/>
      <x:c r="AU82" s="8"/>
      <x:c r="AV82" s="8"/>
      <x:c r="AW82" s="8"/>
      <x:c r="AX82" s="8"/>
      <x:c r="AY82" s="8"/>
      <x:c r="AZ82" s="8" t="str">
        <x:f>IF(G82="","",IF(G82="Very poor",1,IF(G82="Poor",2,IF(G82="Average",3,IF(G82="Good",4,IF(G82="Very good",5,""))))))</x:f>
      </x:c>
      <x:c r="BA82" s="8" t="str">
        <x:f>IF(I82="","",IF(I82="Very poor",1,IF(I82="Poor",2,IF(I82="Average",3,IF(I82="Good",4,IF(I82="Very good",5,""))))))</x:f>
      </x:c>
      <x:c r="BB82" s="8" t="str">
        <x:f>IF(J82="","",IF(J82="Very poor",1,IF(J82="Poor",2,IF(J82="Average",3,IF(J82="Good",4,IF(J82="Very good",5,""))))))</x:f>
      </x:c>
      <x:c r="BC82" s="8" t="str">
        <x:f>IF(Q82="","",IF(Q82="Very poor",1,IF(Q82="Poor",2,IF(Q82="Average",3,IF(Q82="Effective",4,IF(Q82="Very effective",5,""))))))</x:f>
      </x:c>
      <x:c r="BD82" s="8" t="str">
        <x:f>IF(S82="","",IF(S82="Never",1,IF(S82="Rarely",2,IF(S82="Sometimes",3,IF(S82="Often",4,IF(S82="Always",5,""))))))</x:f>
      </x:c>
      <x:c r="BE82" s="8" t="str">
        <x:f>IF(U82="","",IF(U82="Very poor",1,IF(U82="Poor",2,IF(U82="Average",3,IF(U82="Good",4,IF(U82="Very good",5,""))))))</x:f>
      </x:c>
      <x:c r="BF82" s="8" t="str">
        <x:f>IF(V82="","",IF(V82="Very poor",1,IF(V82="Poor",2,IF(V82="Average",3,IF(V82="Good",4,IF(V82="Very good",5,""))))))</x:f>
      </x:c>
      <x:c r="BG82" s="8" t="str">
        <x:f>IF(AB82="","",IF(AB82="Never",1,IF(AB82="Rarely",2,IF(AB82="Sometimes",3,IF(AB82="Often",4,IF(AB82="Always",5,""))))))</x:f>
      </x:c>
      <x:c r="BH82" s="8" t="str">
        <x:f>IF(AF82="","",IF(AF82="Very poor",1,IF(AF82="Poor",2,IF(AF82="Average",3,IF(AF82="Good",4,IF(AF82="Very good",5,""))))))</x:f>
      </x:c>
      <x:c r="BI82" s="8" t="str">
        <x:f>IF(AK82="","",IF(AK82="Very poor",1,IF(AK82="Poor",2,IF(AK82="Average",3,IF(AK82="Good",4,IF(AK82="Very good",5,""))))))</x:f>
      </x:c>
      <x:c r="BJ82" s="8" t="str">
        <x:f>IF(AT82="","",IF(AT82="Very poor",1,IF(AT82="Poor",2,IF(AT82="Average",3,IF(AT82="Good",4,IF(AT82="Very good",5,""))))))</x:f>
      </x:c>
      <x:c r="BK82" s="8"/>
    </x:row>
    <x:row r="83"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  <x:c r="AA83" s="8"/>
      <x:c r="AB83" s="8"/>
      <x:c r="AC83" s="8"/>
      <x:c r="AD83" s="8"/>
      <x:c r="AE83" s="8"/>
      <x:c r="AF83" s="8"/>
      <x:c r="AG83" s="8"/>
      <x:c r="AH83" s="8"/>
      <x:c r="AI83" s="8"/>
      <x:c r="AJ83" s="8"/>
      <x:c r="AK83" s="8"/>
      <x:c r="AL83" s="8"/>
      <x:c r="AM83" s="8"/>
      <x:c r="AN83" s="8"/>
      <x:c r="AO83" s="8"/>
      <x:c r="AP83" s="8"/>
      <x:c r="AQ83" s="8"/>
      <x:c r="AR83" s="8"/>
      <x:c r="AS83" s="8"/>
      <x:c r="AT83" s="8"/>
      <x:c r="AU83" s="8"/>
      <x:c r="AV83" s="8"/>
      <x:c r="AW83" s="8"/>
      <x:c r="AX83" s="8"/>
      <x:c r="AY83" s="8"/>
      <x:c r="AZ83" s="8" t="str">
        <x:f>IF(G83="","",IF(G83="Very poor",1,IF(G83="Poor",2,IF(G83="Average",3,IF(G83="Good",4,IF(G83="Very good",5,""))))))</x:f>
      </x:c>
      <x:c r="BA83" s="8" t="str">
        <x:f>IF(I83="","",IF(I83="Very poor",1,IF(I83="Poor",2,IF(I83="Average",3,IF(I83="Good",4,IF(I83="Very good",5,""))))))</x:f>
      </x:c>
      <x:c r="BB83" s="8" t="str">
        <x:f>IF(J83="","",IF(J83="Very poor",1,IF(J83="Poor",2,IF(J83="Average",3,IF(J83="Good",4,IF(J83="Very good",5,""))))))</x:f>
      </x:c>
      <x:c r="BC83" s="8" t="str">
        <x:f>IF(Q83="","",IF(Q83="Very poor",1,IF(Q83="Poor",2,IF(Q83="Average",3,IF(Q83="Effective",4,IF(Q83="Very effective",5,""))))))</x:f>
      </x:c>
      <x:c r="BD83" s="8" t="str">
        <x:f>IF(S83="","",IF(S83="Never",1,IF(S83="Rarely",2,IF(S83="Sometimes",3,IF(S83="Often",4,IF(S83="Always",5,""))))))</x:f>
      </x:c>
      <x:c r="BE83" s="8" t="str">
        <x:f>IF(U83="","",IF(U83="Very poor",1,IF(U83="Poor",2,IF(U83="Average",3,IF(U83="Good",4,IF(U83="Very good",5,""))))))</x:f>
      </x:c>
      <x:c r="BF83" s="8" t="str">
        <x:f>IF(V83="","",IF(V83="Very poor",1,IF(V83="Poor",2,IF(V83="Average",3,IF(V83="Good",4,IF(V83="Very good",5,""))))))</x:f>
      </x:c>
      <x:c r="BG83" s="8" t="str">
        <x:f>IF(AB83="","",IF(AB83="Never",1,IF(AB83="Rarely",2,IF(AB83="Sometimes",3,IF(AB83="Often",4,IF(AB83="Always",5,""))))))</x:f>
      </x:c>
      <x:c r="BH83" s="8" t="str">
        <x:f>IF(AF83="","",IF(AF83="Very poor",1,IF(AF83="Poor",2,IF(AF83="Average",3,IF(AF83="Good",4,IF(AF83="Very good",5,""))))))</x:f>
      </x:c>
      <x:c r="BI83" s="8" t="str">
        <x:f>IF(AK83="","",IF(AK83="Very poor",1,IF(AK83="Poor",2,IF(AK83="Average",3,IF(AK83="Good",4,IF(AK83="Very good",5,""))))))</x:f>
      </x:c>
      <x:c r="BJ83" s="8" t="str">
        <x:f>IF(AT83="","",IF(AT83="Very poor",1,IF(AT83="Poor",2,IF(AT83="Average",3,IF(AT83="Good",4,IF(AT83="Very good",5,""))))))</x:f>
      </x:c>
      <x:c r="BK83" s="8"/>
    </x:row>
    <x:row r="84"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  <x:c r="AA84" s="8"/>
      <x:c r="AB84" s="8"/>
      <x:c r="AC84" s="8"/>
      <x:c r="AD84" s="8"/>
      <x:c r="AE84" s="8"/>
      <x:c r="AF84" s="8"/>
      <x:c r="AG84" s="8"/>
      <x:c r="AH84" s="8"/>
      <x:c r="AI84" s="8"/>
      <x:c r="AJ84" s="8"/>
      <x:c r="AK84" s="8"/>
      <x:c r="AL84" s="8"/>
      <x:c r="AM84" s="8"/>
      <x:c r="AN84" s="8"/>
      <x:c r="AO84" s="8"/>
      <x:c r="AP84" s="8"/>
      <x:c r="AQ84" s="8"/>
      <x:c r="AR84" s="8"/>
      <x:c r="AS84" s="8"/>
      <x:c r="AT84" s="8"/>
      <x:c r="AU84" s="8"/>
      <x:c r="AV84" s="8"/>
      <x:c r="AW84" s="8"/>
      <x:c r="AX84" s="8"/>
      <x:c r="AY84" s="8"/>
      <x:c r="AZ84" s="8" t="str">
        <x:f>IF(G84="","",IF(G84="Very poor",1,IF(G84="Poor",2,IF(G84="Average",3,IF(G84="Good",4,IF(G84="Very good",5,""))))))</x:f>
      </x:c>
      <x:c r="BA84" s="8" t="str">
        <x:f>IF(I84="","",IF(I84="Very poor",1,IF(I84="Poor",2,IF(I84="Average",3,IF(I84="Good",4,IF(I84="Very good",5,""))))))</x:f>
      </x:c>
      <x:c r="BB84" s="8" t="str">
        <x:f>IF(J84="","",IF(J84="Very poor",1,IF(J84="Poor",2,IF(J84="Average",3,IF(J84="Good",4,IF(J84="Very good",5,""))))))</x:f>
      </x:c>
      <x:c r="BC84" s="8" t="str">
        <x:f>IF(Q84="","",IF(Q84="Very poor",1,IF(Q84="Poor",2,IF(Q84="Average",3,IF(Q84="Effective",4,IF(Q84="Very effective",5,""))))))</x:f>
      </x:c>
      <x:c r="BD84" s="8" t="str">
        <x:f>IF(S84="","",IF(S84="Never",1,IF(S84="Rarely",2,IF(S84="Sometimes",3,IF(S84="Often",4,IF(S84="Always",5,""))))))</x:f>
      </x:c>
      <x:c r="BE84" s="8" t="str">
        <x:f>IF(U84="","",IF(U84="Very poor",1,IF(U84="Poor",2,IF(U84="Average",3,IF(U84="Good",4,IF(U84="Very good",5,""))))))</x:f>
      </x:c>
      <x:c r="BF84" s="8" t="str">
        <x:f>IF(V84="","",IF(V84="Very poor",1,IF(V84="Poor",2,IF(V84="Average",3,IF(V84="Good",4,IF(V84="Very good",5,""))))))</x:f>
      </x:c>
      <x:c r="BG84" s="8" t="str">
        <x:f>IF(AB84="","",IF(AB84="Never",1,IF(AB84="Rarely",2,IF(AB84="Sometimes",3,IF(AB84="Often",4,IF(AB84="Always",5,""))))))</x:f>
      </x:c>
      <x:c r="BH84" s="8" t="str">
        <x:f>IF(AF84="","",IF(AF84="Very poor",1,IF(AF84="Poor",2,IF(AF84="Average",3,IF(AF84="Good",4,IF(AF84="Very good",5,""))))))</x:f>
      </x:c>
      <x:c r="BI84" s="8" t="str">
        <x:f>IF(AK84="","",IF(AK84="Very poor",1,IF(AK84="Poor",2,IF(AK84="Average",3,IF(AK84="Good",4,IF(AK84="Very good",5,""))))))</x:f>
      </x:c>
      <x:c r="BJ84" s="8" t="str">
        <x:f>IF(AT84="","",IF(AT84="Very poor",1,IF(AT84="Poor",2,IF(AT84="Average",3,IF(AT84="Good",4,IF(AT84="Very good",5,""))))))</x:f>
      </x:c>
      <x:c r="BK84" s="8"/>
    </x:row>
    <x:row r="85"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  <x:c r="AA85" s="8"/>
      <x:c r="AB85" s="8"/>
      <x:c r="AC85" s="8"/>
      <x:c r="AD85" s="8"/>
      <x:c r="AE85" s="8"/>
      <x:c r="AF85" s="8"/>
      <x:c r="AG85" s="8"/>
      <x:c r="AH85" s="8"/>
      <x:c r="AI85" s="8"/>
      <x:c r="AJ85" s="8"/>
      <x:c r="AK85" s="8"/>
      <x:c r="AL85" s="8"/>
      <x:c r="AM85" s="8"/>
      <x:c r="AN85" s="8"/>
      <x:c r="AO85" s="8"/>
      <x:c r="AP85" s="8"/>
      <x:c r="AQ85" s="8"/>
      <x:c r="AR85" s="8"/>
      <x:c r="AS85" s="8"/>
      <x:c r="AT85" s="8"/>
      <x:c r="AU85" s="8"/>
      <x:c r="AV85" s="8"/>
      <x:c r="AW85" s="8"/>
      <x:c r="AX85" s="8"/>
      <x:c r="AY85" s="8"/>
      <x:c r="AZ85" s="8" t="str">
        <x:f>IF(G85="","",IF(G85="Very poor",1,IF(G85="Poor",2,IF(G85="Average",3,IF(G85="Good",4,IF(G85="Very good",5,""))))))</x:f>
      </x:c>
      <x:c r="BA85" s="8" t="str">
        <x:f>IF(I85="","",IF(I85="Very poor",1,IF(I85="Poor",2,IF(I85="Average",3,IF(I85="Good",4,IF(I85="Very good",5,""))))))</x:f>
      </x:c>
      <x:c r="BB85" s="8" t="str">
        <x:f>IF(J85="","",IF(J85="Very poor",1,IF(J85="Poor",2,IF(J85="Average",3,IF(J85="Good",4,IF(J85="Very good",5,""))))))</x:f>
      </x:c>
      <x:c r="BC85" s="8" t="str">
        <x:f>IF(Q85="","",IF(Q85="Very poor",1,IF(Q85="Poor",2,IF(Q85="Average",3,IF(Q85="Effective",4,IF(Q85="Very effective",5,""))))))</x:f>
      </x:c>
      <x:c r="BD85" s="8" t="str">
        <x:f>IF(S85="","",IF(S85="Never",1,IF(S85="Rarely",2,IF(S85="Sometimes",3,IF(S85="Often",4,IF(S85="Always",5,""))))))</x:f>
      </x:c>
      <x:c r="BE85" s="8" t="str">
        <x:f>IF(U85="","",IF(U85="Very poor",1,IF(U85="Poor",2,IF(U85="Average",3,IF(U85="Good",4,IF(U85="Very good",5,""))))))</x:f>
      </x:c>
      <x:c r="BF85" s="8" t="str">
        <x:f>IF(V85="","",IF(V85="Very poor",1,IF(V85="Poor",2,IF(V85="Average",3,IF(V85="Good",4,IF(V85="Very good",5,""))))))</x:f>
      </x:c>
      <x:c r="BG85" s="8" t="str">
        <x:f>IF(AB85="","",IF(AB85="Never",1,IF(AB85="Rarely",2,IF(AB85="Sometimes",3,IF(AB85="Often",4,IF(AB85="Always",5,""))))))</x:f>
      </x:c>
      <x:c r="BH85" s="8" t="str">
        <x:f>IF(AF85="","",IF(AF85="Very poor",1,IF(AF85="Poor",2,IF(AF85="Average",3,IF(AF85="Good",4,IF(AF85="Very good",5,""))))))</x:f>
      </x:c>
      <x:c r="BI85" s="8" t="str">
        <x:f>IF(AK85="","",IF(AK85="Very poor",1,IF(AK85="Poor",2,IF(AK85="Average",3,IF(AK85="Good",4,IF(AK85="Very good",5,""))))))</x:f>
      </x:c>
      <x:c r="BJ85" s="8" t="str">
        <x:f>IF(AT85="","",IF(AT85="Very poor",1,IF(AT85="Poor",2,IF(AT85="Average",3,IF(AT85="Good",4,IF(AT85="Very good",5,""))))))</x:f>
      </x:c>
      <x:c r="BK85" s="8"/>
    </x:row>
    <x:row r="86"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  <x:c r="AA86" s="8"/>
      <x:c r="AB86" s="8"/>
      <x:c r="AC86" s="8"/>
      <x:c r="AD86" s="8"/>
      <x:c r="AE86" s="8"/>
      <x:c r="AF86" s="8"/>
      <x:c r="AG86" s="8"/>
      <x:c r="AH86" s="8"/>
      <x:c r="AI86" s="8"/>
      <x:c r="AJ86" s="8"/>
      <x:c r="AK86" s="8"/>
      <x:c r="AL86" s="8"/>
      <x:c r="AM86" s="8"/>
      <x:c r="AN86" s="8"/>
      <x:c r="AO86" s="8"/>
      <x:c r="AP86" s="8"/>
      <x:c r="AQ86" s="8"/>
      <x:c r="AR86" s="8"/>
      <x:c r="AS86" s="8"/>
      <x:c r="AT86" s="8"/>
      <x:c r="AU86" s="8"/>
      <x:c r="AV86" s="8"/>
      <x:c r="AW86" s="8"/>
      <x:c r="AX86" s="8"/>
      <x:c r="AY86" s="8"/>
      <x:c r="AZ86" s="8" t="str">
        <x:f>IF(G86="","",IF(G86="Very poor",1,IF(G86="Poor",2,IF(G86="Average",3,IF(G86="Good",4,IF(G86="Very good",5,""))))))</x:f>
      </x:c>
      <x:c r="BA86" s="8" t="str">
        <x:f>IF(I86="","",IF(I86="Very poor",1,IF(I86="Poor",2,IF(I86="Average",3,IF(I86="Good",4,IF(I86="Very good",5,""))))))</x:f>
      </x:c>
      <x:c r="BB86" s="8" t="str">
        <x:f>IF(J86="","",IF(J86="Very poor",1,IF(J86="Poor",2,IF(J86="Average",3,IF(J86="Good",4,IF(J86="Very good",5,""))))))</x:f>
      </x:c>
      <x:c r="BC86" s="8" t="str">
        <x:f>IF(Q86="","",IF(Q86="Very poor",1,IF(Q86="Poor",2,IF(Q86="Average",3,IF(Q86="Effective",4,IF(Q86="Very effective",5,""))))))</x:f>
      </x:c>
      <x:c r="BD86" s="8" t="str">
        <x:f>IF(S86="","",IF(S86="Never",1,IF(S86="Rarely",2,IF(S86="Sometimes",3,IF(S86="Often",4,IF(S86="Always",5,""))))))</x:f>
      </x:c>
      <x:c r="BE86" s="8" t="str">
        <x:f>IF(U86="","",IF(U86="Very poor",1,IF(U86="Poor",2,IF(U86="Average",3,IF(U86="Good",4,IF(U86="Very good",5,""))))))</x:f>
      </x:c>
      <x:c r="BF86" s="8" t="str">
        <x:f>IF(V86="","",IF(V86="Very poor",1,IF(V86="Poor",2,IF(V86="Average",3,IF(V86="Good",4,IF(V86="Very good",5,""))))))</x:f>
      </x:c>
      <x:c r="BG86" s="8" t="str">
        <x:f>IF(AB86="","",IF(AB86="Never",1,IF(AB86="Rarely",2,IF(AB86="Sometimes",3,IF(AB86="Often",4,IF(AB86="Always",5,""))))))</x:f>
      </x:c>
      <x:c r="BH86" s="8" t="str">
        <x:f>IF(AF86="","",IF(AF86="Very poor",1,IF(AF86="Poor",2,IF(AF86="Average",3,IF(AF86="Good",4,IF(AF86="Very good",5,""))))))</x:f>
      </x:c>
      <x:c r="BI86" s="8" t="str">
        <x:f>IF(AK86="","",IF(AK86="Very poor",1,IF(AK86="Poor",2,IF(AK86="Average",3,IF(AK86="Good",4,IF(AK86="Very good",5,""))))))</x:f>
      </x:c>
      <x:c r="BJ86" s="8" t="str">
        <x:f>IF(AT86="","",IF(AT86="Very poor",1,IF(AT86="Poor",2,IF(AT86="Average",3,IF(AT86="Good",4,IF(AT86="Very good",5,""))))))</x:f>
      </x:c>
      <x:c r="BK86" s="8"/>
    </x:row>
    <x:row r="87"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  <x:c r="AA87" s="8"/>
      <x:c r="AB87" s="8"/>
      <x:c r="AC87" s="8"/>
      <x:c r="AD87" s="8"/>
      <x:c r="AE87" s="8"/>
      <x:c r="AF87" s="8"/>
      <x:c r="AG87" s="8"/>
      <x:c r="AH87" s="8"/>
      <x:c r="AI87" s="8"/>
      <x:c r="AJ87" s="8"/>
      <x:c r="AK87" s="8"/>
      <x:c r="AL87" s="8"/>
      <x:c r="AM87" s="8"/>
      <x:c r="AN87" s="8"/>
      <x:c r="AO87" s="8"/>
      <x:c r="AP87" s="8"/>
      <x:c r="AQ87" s="8"/>
      <x:c r="AR87" s="8"/>
      <x:c r="AS87" s="8"/>
      <x:c r="AT87" s="8"/>
      <x:c r="AU87" s="8"/>
      <x:c r="AV87" s="8"/>
      <x:c r="AW87" s="8"/>
      <x:c r="AX87" s="8"/>
      <x:c r="AY87" s="8"/>
      <x:c r="AZ87" s="8" t="str">
        <x:f>IF(G87="","",IF(G87="Very poor",1,IF(G87="Poor",2,IF(G87="Average",3,IF(G87="Good",4,IF(G87="Very good",5,""))))))</x:f>
      </x:c>
      <x:c r="BA87" s="8" t="str">
        <x:f>IF(I87="","",IF(I87="Very poor",1,IF(I87="Poor",2,IF(I87="Average",3,IF(I87="Good",4,IF(I87="Very good",5,""))))))</x:f>
      </x:c>
      <x:c r="BB87" s="8" t="str">
        <x:f>IF(J87="","",IF(J87="Very poor",1,IF(J87="Poor",2,IF(J87="Average",3,IF(J87="Good",4,IF(J87="Very good",5,""))))))</x:f>
      </x:c>
      <x:c r="BC87" s="8" t="str">
        <x:f>IF(Q87="","",IF(Q87="Very poor",1,IF(Q87="Poor",2,IF(Q87="Average",3,IF(Q87="Effective",4,IF(Q87="Very effective",5,""))))))</x:f>
      </x:c>
      <x:c r="BD87" s="8" t="str">
        <x:f>IF(S87="","",IF(S87="Never",1,IF(S87="Rarely",2,IF(S87="Sometimes",3,IF(S87="Often",4,IF(S87="Always",5,""))))))</x:f>
      </x:c>
      <x:c r="BE87" s="8" t="str">
        <x:f>IF(U87="","",IF(U87="Very poor",1,IF(U87="Poor",2,IF(U87="Average",3,IF(U87="Good",4,IF(U87="Very good",5,""))))))</x:f>
      </x:c>
      <x:c r="BF87" s="8" t="str">
        <x:f>IF(V87="","",IF(V87="Very poor",1,IF(V87="Poor",2,IF(V87="Average",3,IF(V87="Good",4,IF(V87="Very good",5,""))))))</x:f>
      </x:c>
      <x:c r="BG87" s="8" t="str">
        <x:f>IF(AB87="","",IF(AB87="Never",1,IF(AB87="Rarely",2,IF(AB87="Sometimes",3,IF(AB87="Often",4,IF(AB87="Always",5,""))))))</x:f>
      </x:c>
      <x:c r="BH87" s="8" t="str">
        <x:f>IF(AF87="","",IF(AF87="Very poor",1,IF(AF87="Poor",2,IF(AF87="Average",3,IF(AF87="Good",4,IF(AF87="Very good",5,""))))))</x:f>
      </x:c>
      <x:c r="BI87" s="8" t="str">
        <x:f>IF(AK87="","",IF(AK87="Very poor",1,IF(AK87="Poor",2,IF(AK87="Average",3,IF(AK87="Good",4,IF(AK87="Very good",5,""))))))</x:f>
      </x:c>
      <x:c r="BJ87" s="8" t="str">
        <x:f>IF(AT87="","",IF(AT87="Very poor",1,IF(AT87="Poor",2,IF(AT87="Average",3,IF(AT87="Good",4,IF(AT87="Very good",5,""))))))</x:f>
      </x:c>
      <x:c r="BK87" s="8"/>
    </x:row>
    <x:row r="88"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  <x:c r="AA88" s="8"/>
      <x:c r="AB88" s="8"/>
      <x:c r="AC88" s="8"/>
      <x:c r="AD88" s="8"/>
      <x:c r="AE88" s="8"/>
      <x:c r="AF88" s="8"/>
      <x:c r="AG88" s="8"/>
      <x:c r="AH88" s="8"/>
      <x:c r="AI88" s="8"/>
      <x:c r="AJ88" s="8"/>
      <x:c r="AK88" s="8"/>
      <x:c r="AL88" s="8"/>
      <x:c r="AM88" s="8"/>
      <x:c r="AN88" s="8"/>
      <x:c r="AO88" s="8"/>
      <x:c r="AP88" s="8"/>
      <x:c r="AQ88" s="8"/>
      <x:c r="AR88" s="8"/>
      <x:c r="AS88" s="8"/>
      <x:c r="AT88" s="8"/>
      <x:c r="AU88" s="8"/>
      <x:c r="AV88" s="8"/>
      <x:c r="AW88" s="8"/>
      <x:c r="AX88" s="8"/>
      <x:c r="AY88" s="8"/>
      <x:c r="AZ88" s="8" t="str">
        <x:f>IF(G88="","",IF(G88="Very poor",1,IF(G88="Poor",2,IF(G88="Average",3,IF(G88="Good",4,IF(G88="Very good",5,""))))))</x:f>
      </x:c>
      <x:c r="BA88" s="8" t="str">
        <x:f>IF(I88="","",IF(I88="Very poor",1,IF(I88="Poor",2,IF(I88="Average",3,IF(I88="Good",4,IF(I88="Very good",5,""))))))</x:f>
      </x:c>
      <x:c r="BB88" s="8" t="str">
        <x:f>IF(J88="","",IF(J88="Very poor",1,IF(J88="Poor",2,IF(J88="Average",3,IF(J88="Good",4,IF(J88="Very good",5,""))))))</x:f>
      </x:c>
      <x:c r="BC88" s="8" t="str">
        <x:f>IF(Q88="","",IF(Q88="Very poor",1,IF(Q88="Poor",2,IF(Q88="Average",3,IF(Q88="Effective",4,IF(Q88="Very effective",5,""))))))</x:f>
      </x:c>
      <x:c r="BD88" s="8" t="str">
        <x:f>IF(S88="","",IF(S88="Never",1,IF(S88="Rarely",2,IF(S88="Sometimes",3,IF(S88="Often",4,IF(S88="Always",5,""))))))</x:f>
      </x:c>
      <x:c r="BE88" s="8" t="str">
        <x:f>IF(U88="","",IF(U88="Very poor",1,IF(U88="Poor",2,IF(U88="Average",3,IF(U88="Good",4,IF(U88="Very good",5,""))))))</x:f>
      </x:c>
      <x:c r="BF88" s="8" t="str">
        <x:f>IF(V88="","",IF(V88="Very poor",1,IF(V88="Poor",2,IF(V88="Average",3,IF(V88="Good",4,IF(V88="Very good",5,""))))))</x:f>
      </x:c>
      <x:c r="BG88" s="8" t="str">
        <x:f>IF(AB88="","",IF(AB88="Never",1,IF(AB88="Rarely",2,IF(AB88="Sometimes",3,IF(AB88="Often",4,IF(AB88="Always",5,""))))))</x:f>
      </x:c>
      <x:c r="BH88" s="8" t="str">
        <x:f>IF(AF88="","",IF(AF88="Very poor",1,IF(AF88="Poor",2,IF(AF88="Average",3,IF(AF88="Good",4,IF(AF88="Very good",5,""))))))</x:f>
      </x:c>
      <x:c r="BI88" s="8" t="str">
        <x:f>IF(AK88="","",IF(AK88="Very poor",1,IF(AK88="Poor",2,IF(AK88="Average",3,IF(AK88="Good",4,IF(AK88="Very good",5,""))))))</x:f>
      </x:c>
      <x:c r="BJ88" s="8" t="str">
        <x:f>IF(AT88="","",IF(AT88="Very poor",1,IF(AT88="Poor",2,IF(AT88="Average",3,IF(AT88="Good",4,IF(AT88="Very good",5,""))))))</x:f>
      </x:c>
      <x:c r="BK88" s="8"/>
    </x:row>
    <x:row r="89"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  <x:c r="AA89" s="8"/>
      <x:c r="AB89" s="8"/>
      <x:c r="AC89" s="8"/>
      <x:c r="AD89" s="8"/>
      <x:c r="AE89" s="8"/>
      <x:c r="AF89" s="8"/>
      <x:c r="AG89" s="8"/>
      <x:c r="AH89" s="8"/>
      <x:c r="AI89" s="8"/>
      <x:c r="AJ89" s="8"/>
      <x:c r="AK89" s="8"/>
      <x:c r="AL89" s="8"/>
      <x:c r="AM89" s="8"/>
      <x:c r="AN89" s="8"/>
      <x:c r="AO89" s="8"/>
      <x:c r="AP89" s="8"/>
      <x:c r="AQ89" s="8"/>
      <x:c r="AR89" s="8"/>
      <x:c r="AS89" s="8"/>
      <x:c r="AT89" s="8"/>
      <x:c r="AU89" s="8"/>
      <x:c r="AV89" s="8"/>
      <x:c r="AW89" s="8"/>
      <x:c r="AX89" s="8"/>
      <x:c r="AY89" s="8"/>
      <x:c r="AZ89" s="8" t="str">
        <x:f>IF(G89="","",IF(G89="Very poor",1,IF(G89="Poor",2,IF(G89="Average",3,IF(G89="Good",4,IF(G89="Very good",5,""))))))</x:f>
      </x:c>
      <x:c r="BA89" s="8" t="str">
        <x:f>IF(I89="","",IF(I89="Very poor",1,IF(I89="Poor",2,IF(I89="Average",3,IF(I89="Good",4,IF(I89="Very good",5,""))))))</x:f>
      </x:c>
      <x:c r="BB89" s="8" t="str">
        <x:f>IF(J89="","",IF(J89="Very poor",1,IF(J89="Poor",2,IF(J89="Average",3,IF(J89="Good",4,IF(J89="Very good",5,""))))))</x:f>
      </x:c>
      <x:c r="BC89" s="8" t="str">
        <x:f>IF(Q89="","",IF(Q89="Very poor",1,IF(Q89="Poor",2,IF(Q89="Average",3,IF(Q89="Effective",4,IF(Q89="Very effective",5,""))))))</x:f>
      </x:c>
      <x:c r="BD89" s="8" t="str">
        <x:f>IF(S89="","",IF(S89="Never",1,IF(S89="Rarely",2,IF(S89="Sometimes",3,IF(S89="Often",4,IF(S89="Always",5,""))))))</x:f>
      </x:c>
      <x:c r="BE89" s="8" t="str">
        <x:f>IF(U89="","",IF(U89="Very poor",1,IF(U89="Poor",2,IF(U89="Average",3,IF(U89="Good",4,IF(U89="Very good",5,""))))))</x:f>
      </x:c>
      <x:c r="BF89" s="8" t="str">
        <x:f>IF(V89="","",IF(V89="Very poor",1,IF(V89="Poor",2,IF(V89="Average",3,IF(V89="Good",4,IF(V89="Very good",5,""))))))</x:f>
      </x:c>
      <x:c r="BG89" s="8" t="str">
        <x:f>IF(AB89="","",IF(AB89="Never",1,IF(AB89="Rarely",2,IF(AB89="Sometimes",3,IF(AB89="Often",4,IF(AB89="Always",5,""))))))</x:f>
      </x:c>
      <x:c r="BH89" s="8" t="str">
        <x:f>IF(AF89="","",IF(AF89="Very poor",1,IF(AF89="Poor",2,IF(AF89="Average",3,IF(AF89="Good",4,IF(AF89="Very good",5,""))))))</x:f>
      </x:c>
      <x:c r="BI89" s="8" t="str">
        <x:f>IF(AK89="","",IF(AK89="Very poor",1,IF(AK89="Poor",2,IF(AK89="Average",3,IF(AK89="Good",4,IF(AK89="Very good",5,""))))))</x:f>
      </x:c>
      <x:c r="BJ89" s="8" t="str">
        <x:f>IF(AT89="","",IF(AT89="Very poor",1,IF(AT89="Poor",2,IF(AT89="Average",3,IF(AT89="Good",4,IF(AT89="Very good",5,""))))))</x:f>
      </x:c>
      <x:c r="BK89" s="8"/>
    </x:row>
    <x:row r="90"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  <x:c r="AA90" s="8"/>
      <x:c r="AB90" s="8"/>
      <x:c r="AC90" s="8"/>
      <x:c r="AD90" s="8"/>
      <x:c r="AE90" s="8"/>
      <x:c r="AF90" s="8"/>
      <x:c r="AG90" s="8"/>
      <x:c r="AH90" s="8"/>
      <x:c r="AI90" s="8"/>
      <x:c r="AJ90" s="8"/>
      <x:c r="AK90" s="8"/>
      <x:c r="AL90" s="8"/>
      <x:c r="AM90" s="8"/>
      <x:c r="AN90" s="8"/>
      <x:c r="AO90" s="8"/>
      <x:c r="AP90" s="8"/>
      <x:c r="AQ90" s="8"/>
      <x:c r="AR90" s="8"/>
      <x:c r="AS90" s="8"/>
      <x:c r="AT90" s="8"/>
      <x:c r="AU90" s="8"/>
      <x:c r="AV90" s="8"/>
      <x:c r="AW90" s="8"/>
      <x:c r="AX90" s="8"/>
      <x:c r="AY90" s="8"/>
      <x:c r="AZ90" s="8" t="str">
        <x:f>IF(G90="","",IF(G90="Very poor",1,IF(G90="Poor",2,IF(G90="Average",3,IF(G90="Good",4,IF(G90="Very good",5,""))))))</x:f>
      </x:c>
      <x:c r="BA90" s="8" t="str">
        <x:f>IF(I90="","",IF(I90="Very poor",1,IF(I90="Poor",2,IF(I90="Average",3,IF(I90="Good",4,IF(I90="Very good",5,""))))))</x:f>
      </x:c>
      <x:c r="BB90" s="8" t="str">
        <x:f>IF(J90="","",IF(J90="Very poor",1,IF(J90="Poor",2,IF(J90="Average",3,IF(J90="Good",4,IF(J90="Very good",5,""))))))</x:f>
      </x:c>
      <x:c r="BC90" s="8" t="str">
        <x:f>IF(Q90="","",IF(Q90="Very poor",1,IF(Q90="Poor",2,IF(Q90="Average",3,IF(Q90="Effective",4,IF(Q90="Very effective",5,""))))))</x:f>
      </x:c>
      <x:c r="BD90" s="8" t="str">
        <x:f>IF(S90="","",IF(S90="Never",1,IF(S90="Rarely",2,IF(S90="Sometimes",3,IF(S90="Often",4,IF(S90="Always",5,""))))))</x:f>
      </x:c>
      <x:c r="BE90" s="8" t="str">
        <x:f>IF(U90="","",IF(U90="Very poor",1,IF(U90="Poor",2,IF(U90="Average",3,IF(U90="Good",4,IF(U90="Very good",5,""))))))</x:f>
      </x:c>
      <x:c r="BF90" s="8" t="str">
        <x:f>IF(V90="","",IF(V90="Very poor",1,IF(V90="Poor",2,IF(V90="Average",3,IF(V90="Good",4,IF(V90="Very good",5,""))))))</x:f>
      </x:c>
      <x:c r="BG90" s="8" t="str">
        <x:f>IF(AB90="","",IF(AB90="Never",1,IF(AB90="Rarely",2,IF(AB90="Sometimes",3,IF(AB90="Often",4,IF(AB90="Always",5,""))))))</x:f>
      </x:c>
      <x:c r="BH90" s="8" t="str">
        <x:f>IF(AF90="","",IF(AF90="Very poor",1,IF(AF90="Poor",2,IF(AF90="Average",3,IF(AF90="Good",4,IF(AF90="Very good",5,""))))))</x:f>
      </x:c>
      <x:c r="BI90" s="8" t="str">
        <x:f>IF(AK90="","",IF(AK90="Very poor",1,IF(AK90="Poor",2,IF(AK90="Average",3,IF(AK90="Good",4,IF(AK90="Very good",5,""))))))</x:f>
      </x:c>
      <x:c r="BJ90" s="8" t="str">
        <x:f>IF(AT90="","",IF(AT90="Very poor",1,IF(AT90="Poor",2,IF(AT90="Average",3,IF(AT90="Good",4,IF(AT90="Very good",5,""))))))</x:f>
      </x:c>
      <x:c r="BK90" s="8"/>
    </x:row>
    <x:row r="91"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  <x:c r="AA91" s="8"/>
      <x:c r="AB91" s="8"/>
      <x:c r="AC91" s="8"/>
      <x:c r="AD91" s="8"/>
      <x:c r="AE91" s="8"/>
      <x:c r="AF91" s="8"/>
      <x:c r="AG91" s="8"/>
      <x:c r="AH91" s="8"/>
      <x:c r="AI91" s="8"/>
      <x:c r="AJ91" s="8"/>
      <x:c r="AK91" s="8"/>
      <x:c r="AL91" s="8"/>
      <x:c r="AM91" s="8"/>
      <x:c r="AN91" s="8"/>
      <x:c r="AO91" s="8"/>
      <x:c r="AP91" s="8"/>
      <x:c r="AQ91" s="8"/>
      <x:c r="AR91" s="8"/>
      <x:c r="AS91" s="8"/>
      <x:c r="AT91" s="8"/>
      <x:c r="AU91" s="8"/>
      <x:c r="AV91" s="8"/>
      <x:c r="AW91" s="8"/>
      <x:c r="AX91" s="8"/>
      <x:c r="AY91" s="8"/>
      <x:c r="AZ91" s="8" t="str">
        <x:f>IF(G91="","",IF(G91="Very poor",1,IF(G91="Poor",2,IF(G91="Average",3,IF(G91="Good",4,IF(G91="Very good",5,""))))))</x:f>
      </x:c>
      <x:c r="BA91" s="8" t="str">
        <x:f>IF(I91="","",IF(I91="Very poor",1,IF(I91="Poor",2,IF(I91="Average",3,IF(I91="Good",4,IF(I91="Very good",5,""))))))</x:f>
      </x:c>
      <x:c r="BB91" s="8" t="str">
        <x:f>IF(J91="","",IF(J91="Very poor",1,IF(J91="Poor",2,IF(J91="Average",3,IF(J91="Good",4,IF(J91="Very good",5,""))))))</x:f>
      </x:c>
      <x:c r="BC91" s="8" t="str">
        <x:f>IF(Q91="","",IF(Q91="Very poor",1,IF(Q91="Poor",2,IF(Q91="Average",3,IF(Q91="Effective",4,IF(Q91="Very effective",5,""))))))</x:f>
      </x:c>
      <x:c r="BD91" s="8" t="str">
        <x:f>IF(S91="","",IF(S91="Never",1,IF(S91="Rarely",2,IF(S91="Sometimes",3,IF(S91="Often",4,IF(S91="Always",5,""))))))</x:f>
      </x:c>
      <x:c r="BE91" s="8" t="str">
        <x:f>IF(U91="","",IF(U91="Very poor",1,IF(U91="Poor",2,IF(U91="Average",3,IF(U91="Good",4,IF(U91="Very good",5,""))))))</x:f>
      </x:c>
      <x:c r="BF91" s="8" t="str">
        <x:f>IF(V91="","",IF(V91="Very poor",1,IF(V91="Poor",2,IF(V91="Average",3,IF(V91="Good",4,IF(V91="Very good",5,""))))))</x:f>
      </x:c>
      <x:c r="BG91" s="8" t="str">
        <x:f>IF(AB91="","",IF(AB91="Never",1,IF(AB91="Rarely",2,IF(AB91="Sometimes",3,IF(AB91="Often",4,IF(AB91="Always",5,""))))))</x:f>
      </x:c>
      <x:c r="BH91" s="8" t="str">
        <x:f>IF(AF91="","",IF(AF91="Very poor",1,IF(AF91="Poor",2,IF(AF91="Average",3,IF(AF91="Good",4,IF(AF91="Very good",5,""))))))</x:f>
      </x:c>
      <x:c r="BI91" s="8" t="str">
        <x:f>IF(AK91="","",IF(AK91="Very poor",1,IF(AK91="Poor",2,IF(AK91="Average",3,IF(AK91="Good",4,IF(AK91="Very good",5,""))))))</x:f>
      </x:c>
      <x:c r="BJ91" s="8" t="str">
        <x:f>IF(AT91="","",IF(AT91="Very poor",1,IF(AT91="Poor",2,IF(AT91="Average",3,IF(AT91="Good",4,IF(AT91="Very good",5,""))))))</x:f>
      </x:c>
      <x:c r="BK91" s="8"/>
    </x:row>
    <x:row r="92"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  <x:c r="AA92" s="8"/>
      <x:c r="AB92" s="8"/>
      <x:c r="AC92" s="8"/>
      <x:c r="AD92" s="8"/>
      <x:c r="AE92" s="8"/>
      <x:c r="AF92" s="8"/>
      <x:c r="AG92" s="8"/>
      <x:c r="AH92" s="8"/>
      <x:c r="AI92" s="8"/>
      <x:c r="AJ92" s="8"/>
      <x:c r="AK92" s="8"/>
      <x:c r="AL92" s="8"/>
      <x:c r="AM92" s="8"/>
      <x:c r="AN92" s="8"/>
      <x:c r="AO92" s="8"/>
      <x:c r="AP92" s="8"/>
      <x:c r="AQ92" s="8"/>
      <x:c r="AR92" s="8"/>
      <x:c r="AS92" s="8"/>
      <x:c r="AT92" s="8"/>
      <x:c r="AU92" s="8"/>
      <x:c r="AV92" s="8"/>
      <x:c r="AW92" s="8"/>
      <x:c r="AX92" s="8"/>
      <x:c r="AY92" s="8"/>
      <x:c r="AZ92" s="8" t="str">
        <x:f>IF(G92="","",IF(G92="Very poor",1,IF(G92="Poor",2,IF(G92="Average",3,IF(G92="Good",4,IF(G92="Very good",5,""))))))</x:f>
      </x:c>
      <x:c r="BA92" s="8" t="str">
        <x:f>IF(I92="","",IF(I92="Very poor",1,IF(I92="Poor",2,IF(I92="Average",3,IF(I92="Good",4,IF(I92="Very good",5,""))))))</x:f>
      </x:c>
      <x:c r="BB92" s="8" t="str">
        <x:f>IF(J92="","",IF(J92="Very poor",1,IF(J92="Poor",2,IF(J92="Average",3,IF(J92="Good",4,IF(J92="Very good",5,""))))))</x:f>
      </x:c>
      <x:c r="BC92" s="8" t="str">
        <x:f>IF(Q92="","",IF(Q92="Very poor",1,IF(Q92="Poor",2,IF(Q92="Average",3,IF(Q92="Effective",4,IF(Q92="Very effective",5,""))))))</x:f>
      </x:c>
      <x:c r="BD92" s="8" t="str">
        <x:f>IF(S92="","",IF(S92="Never",1,IF(S92="Rarely",2,IF(S92="Sometimes",3,IF(S92="Often",4,IF(S92="Always",5,""))))))</x:f>
      </x:c>
      <x:c r="BE92" s="8" t="str">
        <x:f>IF(U92="","",IF(U92="Very poor",1,IF(U92="Poor",2,IF(U92="Average",3,IF(U92="Good",4,IF(U92="Very good",5,""))))))</x:f>
      </x:c>
      <x:c r="BF92" s="8" t="str">
        <x:f>IF(V92="","",IF(V92="Very poor",1,IF(V92="Poor",2,IF(V92="Average",3,IF(V92="Good",4,IF(V92="Very good",5,""))))))</x:f>
      </x:c>
      <x:c r="BG92" s="8" t="str">
        <x:f>IF(AB92="","",IF(AB92="Never",1,IF(AB92="Rarely",2,IF(AB92="Sometimes",3,IF(AB92="Often",4,IF(AB92="Always",5,""))))))</x:f>
      </x:c>
      <x:c r="BH92" s="8" t="str">
        <x:f>IF(AF92="","",IF(AF92="Very poor",1,IF(AF92="Poor",2,IF(AF92="Average",3,IF(AF92="Good",4,IF(AF92="Very good",5,""))))))</x:f>
      </x:c>
      <x:c r="BI92" s="8" t="str">
        <x:f>IF(AK92="","",IF(AK92="Very poor",1,IF(AK92="Poor",2,IF(AK92="Average",3,IF(AK92="Good",4,IF(AK92="Very good",5,""))))))</x:f>
      </x:c>
      <x:c r="BJ92" s="8" t="str">
        <x:f>IF(AT92="","",IF(AT92="Very poor",1,IF(AT92="Poor",2,IF(AT92="Average",3,IF(AT92="Good",4,IF(AT92="Very good",5,""))))))</x:f>
      </x:c>
      <x:c r="BK92" s="8"/>
    </x:row>
    <x:row r="93"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  <x:c r="AA93" s="8"/>
      <x:c r="AB93" s="8"/>
      <x:c r="AC93" s="8"/>
      <x:c r="AD93" s="8"/>
      <x:c r="AE93" s="8"/>
      <x:c r="AF93" s="8"/>
      <x:c r="AG93" s="8"/>
      <x:c r="AH93" s="8"/>
      <x:c r="AI93" s="8"/>
      <x:c r="AJ93" s="8"/>
      <x:c r="AK93" s="8"/>
      <x:c r="AL93" s="8"/>
      <x:c r="AM93" s="8"/>
      <x:c r="AN93" s="8"/>
      <x:c r="AO93" s="8"/>
      <x:c r="AP93" s="8"/>
      <x:c r="AQ93" s="8"/>
      <x:c r="AR93" s="8"/>
      <x:c r="AS93" s="8"/>
      <x:c r="AT93" s="8"/>
      <x:c r="AU93" s="8"/>
      <x:c r="AV93" s="8"/>
      <x:c r="AW93" s="8"/>
      <x:c r="AX93" s="8"/>
      <x:c r="AY93" s="8"/>
      <x:c r="AZ93" s="8" t="str">
        <x:f>IF(G93="","",IF(G93="Very poor",1,IF(G93="Poor",2,IF(G93="Average",3,IF(G93="Good",4,IF(G93="Very good",5,""))))))</x:f>
      </x:c>
      <x:c r="BA93" s="8" t="str">
        <x:f>IF(I93="","",IF(I93="Very poor",1,IF(I93="Poor",2,IF(I93="Average",3,IF(I93="Good",4,IF(I93="Very good",5,""))))))</x:f>
      </x:c>
      <x:c r="BB93" s="8" t="str">
        <x:f>IF(J93="","",IF(J93="Very poor",1,IF(J93="Poor",2,IF(J93="Average",3,IF(J93="Good",4,IF(J93="Very good",5,""))))))</x:f>
      </x:c>
      <x:c r="BC93" s="8" t="str">
        <x:f>IF(Q93="","",IF(Q93="Very poor",1,IF(Q93="Poor",2,IF(Q93="Average",3,IF(Q93="Effective",4,IF(Q93="Very effective",5,""))))))</x:f>
      </x:c>
      <x:c r="BD93" s="8" t="str">
        <x:f>IF(S93="","",IF(S93="Never",1,IF(S93="Rarely",2,IF(S93="Sometimes",3,IF(S93="Often",4,IF(S93="Always",5,""))))))</x:f>
      </x:c>
      <x:c r="BE93" s="8" t="str">
        <x:f>IF(U93="","",IF(U93="Very poor",1,IF(U93="Poor",2,IF(U93="Average",3,IF(U93="Good",4,IF(U93="Very good",5,""))))))</x:f>
      </x:c>
      <x:c r="BF93" s="8" t="str">
        <x:f>IF(V93="","",IF(V93="Very poor",1,IF(V93="Poor",2,IF(V93="Average",3,IF(V93="Good",4,IF(V93="Very good",5,""))))))</x:f>
      </x:c>
      <x:c r="BG93" s="8" t="str">
        <x:f>IF(AB93="","",IF(AB93="Never",1,IF(AB93="Rarely",2,IF(AB93="Sometimes",3,IF(AB93="Often",4,IF(AB93="Always",5,""))))))</x:f>
      </x:c>
      <x:c r="BH93" s="8" t="str">
        <x:f>IF(AF93="","",IF(AF93="Very poor",1,IF(AF93="Poor",2,IF(AF93="Average",3,IF(AF93="Good",4,IF(AF93="Very good",5,""))))))</x:f>
      </x:c>
      <x:c r="BI93" s="8" t="str">
        <x:f>IF(AK93="","",IF(AK93="Very poor",1,IF(AK93="Poor",2,IF(AK93="Average",3,IF(AK93="Good",4,IF(AK93="Very good",5,""))))))</x:f>
      </x:c>
      <x:c r="BJ93" s="8" t="str">
        <x:f>IF(AT93="","",IF(AT93="Very poor",1,IF(AT93="Poor",2,IF(AT93="Average",3,IF(AT93="Good",4,IF(AT93="Very good",5,""))))))</x:f>
      </x:c>
      <x:c r="BK93" s="8"/>
    </x:row>
    <x:row r="94"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  <x:c r="AA94" s="8"/>
      <x:c r="AB94" s="8"/>
      <x:c r="AC94" s="8"/>
      <x:c r="AD94" s="8"/>
      <x:c r="AE94" s="8"/>
      <x:c r="AF94" s="8"/>
      <x:c r="AG94" s="8"/>
      <x:c r="AH94" s="8"/>
      <x:c r="AI94" s="8"/>
      <x:c r="AJ94" s="8"/>
      <x:c r="AK94" s="8"/>
      <x:c r="AL94" s="8"/>
      <x:c r="AM94" s="8"/>
      <x:c r="AN94" s="8"/>
      <x:c r="AO94" s="8"/>
      <x:c r="AP94" s="8"/>
      <x:c r="AQ94" s="8"/>
      <x:c r="AR94" s="8"/>
      <x:c r="AS94" s="8"/>
      <x:c r="AT94" s="8"/>
      <x:c r="AU94" s="8"/>
      <x:c r="AV94" s="8"/>
      <x:c r="AW94" s="8"/>
      <x:c r="AX94" s="8"/>
      <x:c r="AY94" s="8"/>
      <x:c r="AZ94" s="8" t="str">
        <x:f>IF(G94="","",IF(G94="Very poor",1,IF(G94="Poor",2,IF(G94="Average",3,IF(G94="Good",4,IF(G94="Very good",5,""))))))</x:f>
      </x:c>
      <x:c r="BA94" s="8" t="str">
        <x:f>IF(I94="","",IF(I94="Very poor",1,IF(I94="Poor",2,IF(I94="Average",3,IF(I94="Good",4,IF(I94="Very good",5,""))))))</x:f>
      </x:c>
      <x:c r="BB94" s="8" t="str">
        <x:f>IF(J94="","",IF(J94="Very poor",1,IF(J94="Poor",2,IF(J94="Average",3,IF(J94="Good",4,IF(J94="Very good",5,""))))))</x:f>
      </x:c>
      <x:c r="BC94" s="8" t="str">
        <x:f>IF(Q94="","",IF(Q94="Very poor",1,IF(Q94="Poor",2,IF(Q94="Average",3,IF(Q94="Effective",4,IF(Q94="Very effective",5,""))))))</x:f>
      </x:c>
      <x:c r="BD94" s="8" t="str">
        <x:f>IF(S94="","",IF(S94="Never",1,IF(S94="Rarely",2,IF(S94="Sometimes",3,IF(S94="Often",4,IF(S94="Always",5,""))))))</x:f>
      </x:c>
      <x:c r="BE94" s="8" t="str">
        <x:f>IF(U94="","",IF(U94="Very poor",1,IF(U94="Poor",2,IF(U94="Average",3,IF(U94="Good",4,IF(U94="Very good",5,""))))))</x:f>
      </x:c>
      <x:c r="BF94" s="8" t="str">
        <x:f>IF(V94="","",IF(V94="Very poor",1,IF(V94="Poor",2,IF(V94="Average",3,IF(V94="Good",4,IF(V94="Very good",5,""))))))</x:f>
      </x:c>
      <x:c r="BG94" s="8" t="str">
        <x:f>IF(AB94="","",IF(AB94="Never",1,IF(AB94="Rarely",2,IF(AB94="Sometimes",3,IF(AB94="Often",4,IF(AB94="Always",5,""))))))</x:f>
      </x:c>
      <x:c r="BH94" s="8" t="str">
        <x:f>IF(AF94="","",IF(AF94="Very poor",1,IF(AF94="Poor",2,IF(AF94="Average",3,IF(AF94="Good",4,IF(AF94="Very good",5,""))))))</x:f>
      </x:c>
      <x:c r="BI94" s="8" t="str">
        <x:f>IF(AK94="","",IF(AK94="Very poor",1,IF(AK94="Poor",2,IF(AK94="Average",3,IF(AK94="Good",4,IF(AK94="Very good",5,""))))))</x:f>
      </x:c>
      <x:c r="BJ94" s="8" t="str">
        <x:f>IF(AT94="","",IF(AT94="Very poor",1,IF(AT94="Poor",2,IF(AT94="Average",3,IF(AT94="Good",4,IF(AT94="Very good",5,""))))))</x:f>
      </x:c>
      <x:c r="BK94" s="8"/>
    </x:row>
    <x:row r="95"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  <x:c r="AA95" s="8"/>
      <x:c r="AB95" s="8"/>
      <x:c r="AC95" s="8"/>
      <x:c r="AD95" s="8"/>
      <x:c r="AE95" s="8"/>
      <x:c r="AF95" s="8"/>
      <x:c r="AG95" s="8"/>
      <x:c r="AH95" s="8"/>
      <x:c r="AI95" s="8"/>
      <x:c r="AJ95" s="8"/>
      <x:c r="AK95" s="8"/>
      <x:c r="AL95" s="8"/>
      <x:c r="AM95" s="8"/>
      <x:c r="AN95" s="8"/>
      <x:c r="AO95" s="8"/>
      <x:c r="AP95" s="8"/>
      <x:c r="AQ95" s="8"/>
      <x:c r="AR95" s="8"/>
      <x:c r="AS95" s="8"/>
      <x:c r="AT95" s="8"/>
      <x:c r="AU95" s="8"/>
      <x:c r="AV95" s="8"/>
      <x:c r="AW95" s="8"/>
      <x:c r="AX95" s="8"/>
      <x:c r="AY95" s="8"/>
      <x:c r="AZ95" s="8" t="str">
        <x:f>IF(G95="","",IF(G95="Very poor",1,IF(G95="Poor",2,IF(G95="Average",3,IF(G95="Good",4,IF(G95="Very good",5,""))))))</x:f>
      </x:c>
      <x:c r="BA95" s="8" t="str">
        <x:f>IF(I95="","",IF(I95="Very poor",1,IF(I95="Poor",2,IF(I95="Average",3,IF(I95="Good",4,IF(I95="Very good",5,""))))))</x:f>
      </x:c>
      <x:c r="BB95" s="8" t="str">
        <x:f>IF(J95="","",IF(J95="Very poor",1,IF(J95="Poor",2,IF(J95="Average",3,IF(J95="Good",4,IF(J95="Very good",5,""))))))</x:f>
      </x:c>
      <x:c r="BC95" s="8" t="str">
        <x:f>IF(Q95="","",IF(Q95="Very poor",1,IF(Q95="Poor",2,IF(Q95="Average",3,IF(Q95="Effective",4,IF(Q95="Very effective",5,""))))))</x:f>
      </x:c>
      <x:c r="BD95" s="8" t="str">
        <x:f>IF(S95="","",IF(S95="Never",1,IF(S95="Rarely",2,IF(S95="Sometimes",3,IF(S95="Often",4,IF(S95="Always",5,""))))))</x:f>
      </x:c>
      <x:c r="BE95" s="8" t="str">
        <x:f>IF(U95="","",IF(U95="Very poor",1,IF(U95="Poor",2,IF(U95="Average",3,IF(U95="Good",4,IF(U95="Very good",5,""))))))</x:f>
      </x:c>
      <x:c r="BF95" s="8" t="str">
        <x:f>IF(V95="","",IF(V95="Very poor",1,IF(V95="Poor",2,IF(V95="Average",3,IF(V95="Good",4,IF(V95="Very good",5,""))))))</x:f>
      </x:c>
      <x:c r="BG95" s="8" t="str">
        <x:f>IF(AB95="","",IF(AB95="Never",1,IF(AB95="Rarely",2,IF(AB95="Sometimes",3,IF(AB95="Often",4,IF(AB95="Always",5,""))))))</x:f>
      </x:c>
      <x:c r="BH95" s="8" t="str">
        <x:f>IF(AF95="","",IF(AF95="Very poor",1,IF(AF95="Poor",2,IF(AF95="Average",3,IF(AF95="Good",4,IF(AF95="Very good",5,""))))))</x:f>
      </x:c>
      <x:c r="BI95" s="8" t="str">
        <x:f>IF(AK95="","",IF(AK95="Very poor",1,IF(AK95="Poor",2,IF(AK95="Average",3,IF(AK95="Good",4,IF(AK95="Very good",5,""))))))</x:f>
      </x:c>
      <x:c r="BJ95" s="8" t="str">
        <x:f>IF(AT95="","",IF(AT95="Very poor",1,IF(AT95="Poor",2,IF(AT95="Average",3,IF(AT95="Good",4,IF(AT95="Very good",5,""))))))</x:f>
      </x:c>
      <x:c r="BK95" s="8"/>
    </x:row>
    <x:row r="96"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  <x:c r="AA96" s="8"/>
      <x:c r="AB96" s="8"/>
      <x:c r="AC96" s="8"/>
      <x:c r="AD96" s="8"/>
      <x:c r="AE96" s="8"/>
      <x:c r="AF96" s="8"/>
      <x:c r="AG96" s="8"/>
      <x:c r="AH96" s="8"/>
      <x:c r="AI96" s="8"/>
      <x:c r="AJ96" s="8"/>
      <x:c r="AK96" s="8"/>
      <x:c r="AL96" s="8"/>
      <x:c r="AM96" s="8"/>
      <x:c r="AN96" s="8"/>
      <x:c r="AO96" s="8"/>
      <x:c r="AP96" s="8"/>
      <x:c r="AQ96" s="8"/>
      <x:c r="AR96" s="8"/>
      <x:c r="AS96" s="8"/>
      <x:c r="AT96" s="8"/>
      <x:c r="AU96" s="8"/>
      <x:c r="AV96" s="8"/>
      <x:c r="AW96" s="8"/>
      <x:c r="AX96" s="8"/>
      <x:c r="AY96" s="8"/>
      <x:c r="AZ96" s="8" t="str">
        <x:f>IF(G96="","",IF(G96="Very poor",1,IF(G96="Poor",2,IF(G96="Average",3,IF(G96="Good",4,IF(G96="Very good",5,""))))))</x:f>
      </x:c>
      <x:c r="BA96" s="8" t="str">
        <x:f>IF(I96="","",IF(I96="Very poor",1,IF(I96="Poor",2,IF(I96="Average",3,IF(I96="Good",4,IF(I96="Very good",5,""))))))</x:f>
      </x:c>
      <x:c r="BB96" s="8" t="str">
        <x:f>IF(J96="","",IF(J96="Very poor",1,IF(J96="Poor",2,IF(J96="Average",3,IF(J96="Good",4,IF(J96="Very good",5,""))))))</x:f>
      </x:c>
      <x:c r="BC96" s="8" t="str">
        <x:f>IF(Q96="","",IF(Q96="Very poor",1,IF(Q96="Poor",2,IF(Q96="Average",3,IF(Q96="Effective",4,IF(Q96="Very effective",5,""))))))</x:f>
      </x:c>
      <x:c r="BD96" s="8" t="str">
        <x:f>IF(S96="","",IF(S96="Never",1,IF(S96="Rarely",2,IF(S96="Sometimes",3,IF(S96="Often",4,IF(S96="Always",5,""))))))</x:f>
      </x:c>
      <x:c r="BE96" s="8" t="str">
        <x:f>IF(U96="","",IF(U96="Very poor",1,IF(U96="Poor",2,IF(U96="Average",3,IF(U96="Good",4,IF(U96="Very good",5,""))))))</x:f>
      </x:c>
      <x:c r="BF96" s="8" t="str">
        <x:f>IF(V96="","",IF(V96="Very poor",1,IF(V96="Poor",2,IF(V96="Average",3,IF(V96="Good",4,IF(V96="Very good",5,""))))))</x:f>
      </x:c>
      <x:c r="BG96" s="8" t="str">
        <x:f>IF(AB96="","",IF(AB96="Never",1,IF(AB96="Rarely",2,IF(AB96="Sometimes",3,IF(AB96="Often",4,IF(AB96="Always",5,""))))))</x:f>
      </x:c>
      <x:c r="BH96" s="8" t="str">
        <x:f>IF(AF96="","",IF(AF96="Very poor",1,IF(AF96="Poor",2,IF(AF96="Average",3,IF(AF96="Good",4,IF(AF96="Very good",5,""))))))</x:f>
      </x:c>
      <x:c r="BI96" s="8" t="str">
        <x:f>IF(AK96="","",IF(AK96="Very poor",1,IF(AK96="Poor",2,IF(AK96="Average",3,IF(AK96="Good",4,IF(AK96="Very good",5,""))))))</x:f>
      </x:c>
      <x:c r="BJ96" s="8" t="str">
        <x:f>IF(AT96="","",IF(AT96="Very poor",1,IF(AT96="Poor",2,IF(AT96="Average",3,IF(AT96="Good",4,IF(AT96="Very good",5,""))))))</x:f>
      </x:c>
      <x:c r="BK96" s="8"/>
    </x:row>
    <x:row r="97"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  <x:c r="AA97" s="8"/>
      <x:c r="AB97" s="8"/>
      <x:c r="AC97" s="8"/>
      <x:c r="AD97" s="8"/>
      <x:c r="AE97" s="8"/>
      <x:c r="AF97" s="8"/>
      <x:c r="AG97" s="8"/>
      <x:c r="AH97" s="8"/>
      <x:c r="AI97" s="8"/>
      <x:c r="AJ97" s="8"/>
      <x:c r="AK97" s="8"/>
      <x:c r="AL97" s="8"/>
      <x:c r="AM97" s="8"/>
      <x:c r="AN97" s="8"/>
      <x:c r="AO97" s="8"/>
      <x:c r="AP97" s="8"/>
      <x:c r="AQ97" s="8"/>
      <x:c r="AR97" s="8"/>
      <x:c r="AS97" s="8"/>
      <x:c r="AT97" s="8"/>
      <x:c r="AU97" s="8"/>
      <x:c r="AV97" s="8"/>
      <x:c r="AW97" s="8"/>
      <x:c r="AX97" s="8"/>
      <x:c r="AY97" s="8"/>
      <x:c r="AZ97" s="8" t="str">
        <x:f>IF(G97="","",IF(G97="Very poor",1,IF(G97="Poor",2,IF(G97="Average",3,IF(G97="Good",4,IF(G97="Very good",5,""))))))</x:f>
      </x:c>
      <x:c r="BA97" s="8" t="str">
        <x:f>IF(I97="","",IF(I97="Very poor",1,IF(I97="Poor",2,IF(I97="Average",3,IF(I97="Good",4,IF(I97="Very good",5,""))))))</x:f>
      </x:c>
      <x:c r="BB97" s="8" t="str">
        <x:f>IF(J97="","",IF(J97="Very poor",1,IF(J97="Poor",2,IF(J97="Average",3,IF(J97="Good",4,IF(J97="Very good",5,""))))))</x:f>
      </x:c>
      <x:c r="BC97" s="8" t="str">
        <x:f>IF(Q97="","",IF(Q97="Very poor",1,IF(Q97="Poor",2,IF(Q97="Average",3,IF(Q97="Effective",4,IF(Q97="Very effective",5,""))))))</x:f>
      </x:c>
      <x:c r="BD97" s="8" t="str">
        <x:f>IF(S97="","",IF(S97="Never",1,IF(S97="Rarely",2,IF(S97="Sometimes",3,IF(S97="Often",4,IF(S97="Always",5,""))))))</x:f>
      </x:c>
      <x:c r="BE97" s="8" t="str">
        <x:f>IF(U97="","",IF(U97="Very poor",1,IF(U97="Poor",2,IF(U97="Average",3,IF(U97="Good",4,IF(U97="Very good",5,""))))))</x:f>
      </x:c>
      <x:c r="BF97" s="8" t="str">
        <x:f>IF(V97="","",IF(V97="Very poor",1,IF(V97="Poor",2,IF(V97="Average",3,IF(V97="Good",4,IF(V97="Very good",5,""))))))</x:f>
      </x:c>
      <x:c r="BG97" s="8" t="str">
        <x:f>IF(AB97="","",IF(AB97="Never",1,IF(AB97="Rarely",2,IF(AB97="Sometimes",3,IF(AB97="Often",4,IF(AB97="Always",5,""))))))</x:f>
      </x:c>
      <x:c r="BH97" s="8" t="str">
        <x:f>IF(AF97="","",IF(AF97="Very poor",1,IF(AF97="Poor",2,IF(AF97="Average",3,IF(AF97="Good",4,IF(AF97="Very good",5,""))))))</x:f>
      </x:c>
      <x:c r="BI97" s="8" t="str">
        <x:f>IF(AK97="","",IF(AK97="Very poor",1,IF(AK97="Poor",2,IF(AK97="Average",3,IF(AK97="Good",4,IF(AK97="Very good",5,""))))))</x:f>
      </x:c>
      <x:c r="BJ97" s="8" t="str">
        <x:f>IF(AT97="","",IF(AT97="Very poor",1,IF(AT97="Poor",2,IF(AT97="Average",3,IF(AT97="Good",4,IF(AT97="Very good",5,""))))))</x:f>
      </x:c>
      <x:c r="BK97" s="8"/>
    </x:row>
    <x:row r="98"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  <x:c r="AA98" s="8"/>
      <x:c r="AB98" s="8"/>
      <x:c r="AC98" s="8"/>
      <x:c r="AD98" s="8"/>
      <x:c r="AE98" s="8"/>
      <x:c r="AF98" s="8"/>
      <x:c r="AG98" s="8"/>
      <x:c r="AH98" s="8"/>
      <x:c r="AI98" s="8"/>
      <x:c r="AJ98" s="8"/>
      <x:c r="AK98" s="8"/>
      <x:c r="AL98" s="8"/>
      <x:c r="AM98" s="8"/>
      <x:c r="AN98" s="8"/>
      <x:c r="AO98" s="8"/>
      <x:c r="AP98" s="8"/>
      <x:c r="AQ98" s="8"/>
      <x:c r="AR98" s="8"/>
      <x:c r="AS98" s="8"/>
      <x:c r="AT98" s="8"/>
      <x:c r="AU98" s="8"/>
      <x:c r="AV98" s="8"/>
      <x:c r="AW98" s="8"/>
      <x:c r="AX98" s="8"/>
      <x:c r="AY98" s="8"/>
      <x:c r="AZ98" s="8" t="str">
        <x:f>IF(G98="","",IF(G98="Very poor",1,IF(G98="Poor",2,IF(G98="Average",3,IF(G98="Good",4,IF(G98="Very good",5,""))))))</x:f>
      </x:c>
      <x:c r="BA98" s="8" t="str">
        <x:f>IF(I98="","",IF(I98="Very poor",1,IF(I98="Poor",2,IF(I98="Average",3,IF(I98="Good",4,IF(I98="Very good",5,""))))))</x:f>
      </x:c>
      <x:c r="BB98" s="8" t="str">
        <x:f>IF(J98="","",IF(J98="Very poor",1,IF(J98="Poor",2,IF(J98="Average",3,IF(J98="Good",4,IF(J98="Very good",5,""))))))</x:f>
      </x:c>
      <x:c r="BC98" s="8" t="str">
        <x:f>IF(Q98="","",IF(Q98="Very poor",1,IF(Q98="Poor",2,IF(Q98="Average",3,IF(Q98="Effective",4,IF(Q98="Very effective",5,""))))))</x:f>
      </x:c>
      <x:c r="BD98" s="8" t="str">
        <x:f>IF(S98="","",IF(S98="Never",1,IF(S98="Rarely",2,IF(S98="Sometimes",3,IF(S98="Often",4,IF(S98="Always",5,""))))))</x:f>
      </x:c>
      <x:c r="BE98" s="8" t="str">
        <x:f>IF(U98="","",IF(U98="Very poor",1,IF(U98="Poor",2,IF(U98="Average",3,IF(U98="Good",4,IF(U98="Very good",5,""))))))</x:f>
      </x:c>
      <x:c r="BF98" s="8" t="str">
        <x:f>IF(V98="","",IF(V98="Very poor",1,IF(V98="Poor",2,IF(V98="Average",3,IF(V98="Good",4,IF(V98="Very good",5,""))))))</x:f>
      </x:c>
      <x:c r="BG98" s="8" t="str">
        <x:f>IF(AB98="","",IF(AB98="Never",1,IF(AB98="Rarely",2,IF(AB98="Sometimes",3,IF(AB98="Often",4,IF(AB98="Always",5,""))))))</x:f>
      </x:c>
      <x:c r="BH98" s="8" t="str">
        <x:f>IF(AF98="","",IF(AF98="Very poor",1,IF(AF98="Poor",2,IF(AF98="Average",3,IF(AF98="Good",4,IF(AF98="Very good",5,""))))))</x:f>
      </x:c>
      <x:c r="BI98" s="8" t="str">
        <x:f>IF(AK98="","",IF(AK98="Very poor",1,IF(AK98="Poor",2,IF(AK98="Average",3,IF(AK98="Good",4,IF(AK98="Very good",5,""))))))</x:f>
      </x:c>
      <x:c r="BJ98" s="8" t="str">
        <x:f>IF(AT98="","",IF(AT98="Very poor",1,IF(AT98="Poor",2,IF(AT98="Average",3,IF(AT98="Good",4,IF(AT98="Very good",5,""))))))</x:f>
      </x:c>
      <x:c r="BK98" s="8"/>
    </x:row>
    <x:row r="99"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  <x:c r="AA99" s="8"/>
      <x:c r="AB99" s="8"/>
      <x:c r="AC99" s="8"/>
      <x:c r="AD99" s="8"/>
      <x:c r="AE99" s="8"/>
      <x:c r="AF99" s="8"/>
      <x:c r="AG99" s="8"/>
      <x:c r="AH99" s="8"/>
      <x:c r="AI99" s="8"/>
      <x:c r="AJ99" s="8"/>
      <x:c r="AK99" s="8"/>
      <x:c r="AL99" s="8"/>
      <x:c r="AM99" s="8"/>
      <x:c r="AN99" s="8"/>
      <x:c r="AO99" s="8"/>
      <x:c r="AP99" s="8"/>
      <x:c r="AQ99" s="8"/>
      <x:c r="AR99" s="8"/>
      <x:c r="AS99" s="8"/>
      <x:c r="AT99" s="8"/>
      <x:c r="AU99" s="8"/>
      <x:c r="AV99" s="8"/>
      <x:c r="AW99" s="8"/>
      <x:c r="AX99" s="8"/>
      <x:c r="AY99" s="8"/>
      <x:c r="AZ99" s="8" t="str">
        <x:f>IF(G99="","",IF(G99="Very poor",1,IF(G99="Poor",2,IF(G99="Average",3,IF(G99="Good",4,IF(G99="Very good",5,""))))))</x:f>
      </x:c>
      <x:c r="BA99" s="8" t="str">
        <x:f>IF(I99="","",IF(I99="Very poor",1,IF(I99="Poor",2,IF(I99="Average",3,IF(I99="Good",4,IF(I99="Very good",5,""))))))</x:f>
      </x:c>
      <x:c r="BB99" s="8" t="str">
        <x:f>IF(J99="","",IF(J99="Very poor",1,IF(J99="Poor",2,IF(J99="Average",3,IF(J99="Good",4,IF(J99="Very good",5,""))))))</x:f>
      </x:c>
      <x:c r="BC99" s="8" t="str">
        <x:f>IF(Q99="","",IF(Q99="Very poor",1,IF(Q99="Poor",2,IF(Q99="Average",3,IF(Q99="Effective",4,IF(Q99="Very effective",5,""))))))</x:f>
      </x:c>
      <x:c r="BD99" s="8" t="str">
        <x:f>IF(S99="","",IF(S99="Never",1,IF(S99="Rarely",2,IF(S99="Sometimes",3,IF(S99="Often",4,IF(S99="Always",5,""))))))</x:f>
      </x:c>
      <x:c r="BE99" s="8" t="str">
        <x:f>IF(U99="","",IF(U99="Very poor",1,IF(U99="Poor",2,IF(U99="Average",3,IF(U99="Good",4,IF(U99="Very good",5,""))))))</x:f>
      </x:c>
      <x:c r="BF99" s="8" t="str">
        <x:f>IF(V99="","",IF(V99="Very poor",1,IF(V99="Poor",2,IF(V99="Average",3,IF(V99="Good",4,IF(V99="Very good",5,""))))))</x:f>
      </x:c>
      <x:c r="BG99" s="8" t="str">
        <x:f>IF(AB99="","",IF(AB99="Never",1,IF(AB99="Rarely",2,IF(AB99="Sometimes",3,IF(AB99="Often",4,IF(AB99="Always",5,""))))))</x:f>
      </x:c>
      <x:c r="BH99" s="8" t="str">
        <x:f>IF(AF99="","",IF(AF99="Very poor",1,IF(AF99="Poor",2,IF(AF99="Average",3,IF(AF99="Good",4,IF(AF99="Very good",5,""))))))</x:f>
      </x:c>
      <x:c r="BI99" s="8" t="str">
        <x:f>IF(AK99="","",IF(AK99="Very poor",1,IF(AK99="Poor",2,IF(AK99="Average",3,IF(AK99="Good",4,IF(AK99="Very good",5,""))))))</x:f>
      </x:c>
      <x:c r="BJ99" s="8" t="str">
        <x:f>IF(AT99="","",IF(AT99="Very poor",1,IF(AT99="Poor",2,IF(AT99="Average",3,IF(AT99="Good",4,IF(AT99="Very good",5,""))))))</x:f>
      </x:c>
      <x:c r="BK99" s="8"/>
    </x:row>
    <x:row r="100"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  <x:c r="AA100" s="8"/>
      <x:c r="AB100" s="8"/>
      <x:c r="AC100" s="8"/>
      <x:c r="AD100" s="8"/>
      <x:c r="AE100" s="8"/>
      <x:c r="AF100" s="8"/>
      <x:c r="AG100" s="8"/>
      <x:c r="AH100" s="8"/>
      <x:c r="AI100" s="8"/>
      <x:c r="AJ100" s="8"/>
      <x:c r="AK100" s="8"/>
      <x:c r="AL100" s="8"/>
      <x:c r="AM100" s="8"/>
      <x:c r="AN100" s="8"/>
      <x:c r="AO100" s="8"/>
      <x:c r="AP100" s="8"/>
      <x:c r="AQ100" s="8"/>
      <x:c r="AR100" s="8"/>
      <x:c r="AS100" s="8"/>
      <x:c r="AT100" s="8"/>
      <x:c r="AU100" s="8"/>
      <x:c r="AV100" s="8"/>
      <x:c r="AW100" s="8"/>
      <x:c r="AX100" s="8"/>
      <x:c r="AY100" s="8"/>
      <x:c r="AZ100" s="8" t="str">
        <x:f>IF(G100="","",IF(G100="Very poor",1,IF(G100="Poor",2,IF(G100="Average",3,IF(G100="Good",4,IF(G100="Very good",5,""))))))</x:f>
      </x:c>
      <x:c r="BA100" s="8" t="str">
        <x:f>IF(I100="","",IF(I100="Very poor",1,IF(I100="Poor",2,IF(I100="Average",3,IF(I100="Good",4,IF(I100="Very good",5,""))))))</x:f>
      </x:c>
      <x:c r="BB100" s="8" t="str">
        <x:f>IF(J100="","",IF(J100="Very poor",1,IF(J100="Poor",2,IF(J100="Average",3,IF(J100="Good",4,IF(J100="Very good",5,""))))))</x:f>
      </x:c>
      <x:c r="BC100" s="8" t="str">
        <x:f>IF(Q100="","",IF(Q100="Very poor",1,IF(Q100="Poor",2,IF(Q100="Average",3,IF(Q100="Effective",4,IF(Q100="Very effective",5,""))))))</x:f>
      </x:c>
      <x:c r="BD100" s="8" t="str">
        <x:f>IF(S100="","",IF(S100="Never",1,IF(S100="Rarely",2,IF(S100="Sometimes",3,IF(S100="Often",4,IF(S100="Always",5,""))))))</x:f>
      </x:c>
      <x:c r="BE100" s="8" t="str">
        <x:f>IF(U100="","",IF(U100="Very poor",1,IF(U100="Poor",2,IF(U100="Average",3,IF(U100="Good",4,IF(U100="Very good",5,""))))))</x:f>
      </x:c>
      <x:c r="BF100" s="8" t="str">
        <x:f>IF(V100="","",IF(V100="Very poor",1,IF(V100="Poor",2,IF(V100="Average",3,IF(V100="Good",4,IF(V100="Very good",5,""))))))</x:f>
      </x:c>
      <x:c r="BG100" s="8" t="str">
        <x:f>IF(AB100="","",IF(AB100="Never",1,IF(AB100="Rarely",2,IF(AB100="Sometimes",3,IF(AB100="Often",4,IF(AB100="Always",5,""))))))</x:f>
      </x:c>
      <x:c r="BH100" s="8" t="str">
        <x:f>IF(AF100="","",IF(AF100="Very poor",1,IF(AF100="Poor",2,IF(AF100="Average",3,IF(AF100="Good",4,IF(AF100="Very good",5,""))))))</x:f>
      </x:c>
      <x:c r="BI100" s="8" t="str">
        <x:f>IF(AK100="","",IF(AK100="Very poor",1,IF(AK100="Poor",2,IF(AK100="Average",3,IF(AK100="Good",4,IF(AK100="Very good",5,""))))))</x:f>
      </x:c>
      <x:c r="BJ100" s="8" t="str">
        <x:f>IF(AT100="","",IF(AT100="Very poor",1,IF(AT100="Poor",2,IF(AT100="Average",3,IF(AT100="Good",4,IF(AT100="Very good",5,""))))))</x:f>
      </x:c>
      <x:c r="BK100" s="8"/>
    </x:row>
    <x:row r="101"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  <x:c r="AA101" s="8"/>
      <x:c r="AB101" s="8"/>
      <x:c r="AC101" s="8"/>
      <x:c r="AD101" s="8"/>
      <x:c r="AE101" s="8"/>
      <x:c r="AF101" s="8"/>
      <x:c r="AG101" s="8"/>
      <x:c r="AH101" s="8"/>
      <x:c r="AI101" s="8"/>
      <x:c r="AJ101" s="8"/>
      <x:c r="AK101" s="8"/>
      <x:c r="AL101" s="8"/>
      <x:c r="AM101" s="8"/>
      <x:c r="AN101" s="8"/>
      <x:c r="AO101" s="8"/>
      <x:c r="AP101" s="8"/>
      <x:c r="AQ101" s="8"/>
      <x:c r="AR101" s="8"/>
      <x:c r="AS101" s="8"/>
      <x:c r="AT101" s="8"/>
      <x:c r="AU101" s="8"/>
      <x:c r="AV101" s="8"/>
      <x:c r="AW101" s="8"/>
      <x:c r="AX101" s="8"/>
      <x:c r="AY101" s="8"/>
      <x:c r="AZ101" s="8" t="str">
        <x:f>IF(G101="","",IF(G101="Very poor",1,IF(G101="Poor",2,IF(G101="Average",3,IF(G101="Good",4,IF(G101="Very good",5,""))))))</x:f>
      </x:c>
      <x:c r="BA101" s="8" t="str">
        <x:f>IF(I101="","",IF(I101="Very poor",1,IF(I101="Poor",2,IF(I101="Average",3,IF(I101="Good",4,IF(I101="Very good",5,""))))))</x:f>
      </x:c>
      <x:c r="BB101" s="8" t="str">
        <x:f>IF(J101="","",IF(J101="Very poor",1,IF(J101="Poor",2,IF(J101="Average",3,IF(J101="Good",4,IF(J101="Very good",5,""))))))</x:f>
      </x:c>
      <x:c r="BC101" s="8" t="str">
        <x:f>IF(Q101="","",IF(Q101="Very poor",1,IF(Q101="Poor",2,IF(Q101="Average",3,IF(Q101="Effective",4,IF(Q101="Very effective",5,""))))))</x:f>
      </x:c>
      <x:c r="BD101" s="8" t="str">
        <x:f>IF(S101="","",IF(S101="Never",1,IF(S101="Rarely",2,IF(S101="Sometimes",3,IF(S101="Often",4,IF(S101="Always",5,""))))))</x:f>
      </x:c>
      <x:c r="BE101" s="8" t="str">
        <x:f>IF(U101="","",IF(U101="Very poor",1,IF(U101="Poor",2,IF(U101="Average",3,IF(U101="Good",4,IF(U101="Very good",5,""))))))</x:f>
      </x:c>
      <x:c r="BF101" s="8" t="str">
        <x:f>IF(V101="","",IF(V101="Very poor",1,IF(V101="Poor",2,IF(V101="Average",3,IF(V101="Good",4,IF(V101="Very good",5,""))))))</x:f>
      </x:c>
      <x:c r="BG101" s="8" t="str">
        <x:f>IF(AB101="","",IF(AB101="Never",1,IF(AB101="Rarely",2,IF(AB101="Sometimes",3,IF(AB101="Often",4,IF(AB101="Always",5,""))))))</x:f>
      </x:c>
      <x:c r="BH101" s="8" t="str">
        <x:f>IF(AF101="","",IF(AF101="Very poor",1,IF(AF101="Poor",2,IF(AF101="Average",3,IF(AF101="Good",4,IF(AF101="Very good",5,""))))))</x:f>
      </x:c>
      <x:c r="BI101" s="8" t="str">
        <x:f>IF(AK101="","",IF(AK101="Very poor",1,IF(AK101="Poor",2,IF(AK101="Average",3,IF(AK101="Good",4,IF(AK101="Very good",5,""))))))</x:f>
      </x:c>
      <x:c r="BJ101" s="8" t="str">
        <x:f>IF(AT101="","",IF(AT101="Very poor",1,IF(AT101="Poor",2,IF(AT101="Average",3,IF(AT101="Good",4,IF(AT101="Very good",5,""))))))</x:f>
      </x:c>
      <x:c r="BK101" s="8"/>
    </x:row>
    <x:row r="102"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  <x:c r="AA102" s="8"/>
      <x:c r="AB102" s="8"/>
      <x:c r="AC102" s="8"/>
      <x:c r="AD102" s="8"/>
      <x:c r="AE102" s="8"/>
      <x:c r="AF102" s="8"/>
      <x:c r="AG102" s="8"/>
      <x:c r="AH102" s="8"/>
      <x:c r="AI102" s="8"/>
      <x:c r="AJ102" s="8"/>
      <x:c r="AK102" s="8"/>
      <x:c r="AL102" s="8"/>
      <x:c r="AM102" s="8"/>
      <x:c r="AN102" s="8"/>
      <x:c r="AO102" s="8"/>
      <x:c r="AP102" s="8"/>
      <x:c r="AQ102" s="8"/>
      <x:c r="AR102" s="8"/>
      <x:c r="AS102" s="8"/>
      <x:c r="AT102" s="8"/>
      <x:c r="AU102" s="8"/>
      <x:c r="AV102" s="8"/>
      <x:c r="AW102" s="8"/>
      <x:c r="AX102" s="8"/>
      <x:c r="AY102" s="8"/>
      <x:c r="AZ102" s="8" t="str">
        <x:f>IF(G102="","",IF(G102="Very poor",1,IF(G102="Poor",2,IF(G102="Average",3,IF(G102="Good",4,IF(G102="Very good",5,""))))))</x:f>
      </x:c>
      <x:c r="BA102" s="8" t="str">
        <x:f>IF(I102="","",IF(I102="Very poor",1,IF(I102="Poor",2,IF(I102="Average",3,IF(I102="Good",4,IF(I102="Very good",5,""))))))</x:f>
      </x:c>
      <x:c r="BB102" s="8" t="str">
        <x:f>IF(J102="","",IF(J102="Very poor",1,IF(J102="Poor",2,IF(J102="Average",3,IF(J102="Good",4,IF(J102="Very good",5,""))))))</x:f>
      </x:c>
      <x:c r="BC102" s="8" t="str">
        <x:f>IF(Q102="","",IF(Q102="Very poor",1,IF(Q102="Poor",2,IF(Q102="Average",3,IF(Q102="Effective",4,IF(Q102="Very effective",5,""))))))</x:f>
      </x:c>
      <x:c r="BD102" s="8" t="str">
        <x:f>IF(S102="","",IF(S102="Never",1,IF(S102="Rarely",2,IF(S102="Sometimes",3,IF(S102="Often",4,IF(S102="Always",5,""))))))</x:f>
      </x:c>
      <x:c r="BE102" s="8" t="str">
        <x:f>IF(U102="","",IF(U102="Very poor",1,IF(U102="Poor",2,IF(U102="Average",3,IF(U102="Good",4,IF(U102="Very good",5,""))))))</x:f>
      </x:c>
      <x:c r="BF102" s="8" t="str">
        <x:f>IF(V102="","",IF(V102="Very poor",1,IF(V102="Poor",2,IF(V102="Average",3,IF(V102="Good",4,IF(V102="Very good",5,""))))))</x:f>
      </x:c>
      <x:c r="BG102" s="8" t="str">
        <x:f>IF(AB102="","",IF(AB102="Never",1,IF(AB102="Rarely",2,IF(AB102="Sometimes",3,IF(AB102="Often",4,IF(AB102="Always",5,""))))))</x:f>
      </x:c>
      <x:c r="BH102" s="8" t="str">
        <x:f>IF(AF102="","",IF(AF102="Very poor",1,IF(AF102="Poor",2,IF(AF102="Average",3,IF(AF102="Good",4,IF(AF102="Very good",5,""))))))</x:f>
      </x:c>
      <x:c r="BI102" s="8" t="str">
        <x:f>IF(AK102="","",IF(AK102="Very poor",1,IF(AK102="Poor",2,IF(AK102="Average",3,IF(AK102="Good",4,IF(AK102="Very good",5,""))))))</x:f>
      </x:c>
      <x:c r="BJ102" s="8" t="str">
        <x:f>IF(AT102="","",IF(AT102="Very poor",1,IF(AT102="Poor",2,IF(AT102="Average",3,IF(AT102="Good",4,IF(AT102="Very good",5,""))))))</x:f>
      </x:c>
      <x:c r="BK102" s="8"/>
    </x:row>
    <x:row r="103"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  <x:c r="AA103" s="8"/>
      <x:c r="AB103" s="8"/>
      <x:c r="AC103" s="8"/>
      <x:c r="AD103" s="8"/>
      <x:c r="AE103" s="8"/>
      <x:c r="AF103" s="8"/>
      <x:c r="AG103" s="8"/>
      <x:c r="AH103" s="8"/>
      <x:c r="AI103" s="8"/>
      <x:c r="AJ103" s="8"/>
      <x:c r="AK103" s="8"/>
      <x:c r="AL103" s="8"/>
      <x:c r="AM103" s="8"/>
      <x:c r="AN103" s="8"/>
      <x:c r="AO103" s="8"/>
      <x:c r="AP103" s="8"/>
      <x:c r="AQ103" s="8"/>
      <x:c r="AR103" s="8"/>
      <x:c r="AS103" s="8"/>
      <x:c r="AT103" s="8"/>
      <x:c r="AU103" s="8"/>
      <x:c r="AV103" s="8"/>
      <x:c r="AW103" s="8"/>
      <x:c r="AX103" s="8"/>
      <x:c r="AY103" s="8"/>
      <x:c r="AZ103" s="8" t="str">
        <x:f>IF(G103="","",IF(G103="Very poor",1,IF(G103="Poor",2,IF(G103="Average",3,IF(G103="Good",4,IF(G103="Very good",5,""))))))</x:f>
      </x:c>
      <x:c r="BA103" s="8" t="str">
        <x:f>IF(I103="","",IF(I103="Very poor",1,IF(I103="Poor",2,IF(I103="Average",3,IF(I103="Good",4,IF(I103="Very good",5,""))))))</x:f>
      </x:c>
      <x:c r="BB103" s="8" t="str">
        <x:f>IF(J103="","",IF(J103="Very poor",1,IF(J103="Poor",2,IF(J103="Average",3,IF(J103="Good",4,IF(J103="Very good",5,""))))))</x:f>
      </x:c>
      <x:c r="BC103" s="8" t="str">
        <x:f>IF(Q103="","",IF(Q103="Very poor",1,IF(Q103="Poor",2,IF(Q103="Average",3,IF(Q103="Effective",4,IF(Q103="Very effective",5,""))))))</x:f>
      </x:c>
      <x:c r="BD103" s="8" t="str">
        <x:f>IF(S103="","",IF(S103="Never",1,IF(S103="Rarely",2,IF(S103="Sometimes",3,IF(S103="Often",4,IF(S103="Always",5,""))))))</x:f>
      </x:c>
      <x:c r="BE103" s="8" t="str">
        <x:f>IF(U103="","",IF(U103="Very poor",1,IF(U103="Poor",2,IF(U103="Average",3,IF(U103="Good",4,IF(U103="Very good",5,""))))))</x:f>
      </x:c>
      <x:c r="BF103" s="8" t="str">
        <x:f>IF(V103="","",IF(V103="Very poor",1,IF(V103="Poor",2,IF(V103="Average",3,IF(V103="Good",4,IF(V103="Very good",5,""))))))</x:f>
      </x:c>
      <x:c r="BG103" s="8" t="str">
        <x:f>IF(AB103="","",IF(AB103="Never",1,IF(AB103="Rarely",2,IF(AB103="Sometimes",3,IF(AB103="Often",4,IF(AB103="Always",5,""))))))</x:f>
      </x:c>
      <x:c r="BH103" s="8" t="str">
        <x:f>IF(AF103="","",IF(AF103="Very poor",1,IF(AF103="Poor",2,IF(AF103="Average",3,IF(AF103="Good",4,IF(AF103="Very good",5,""))))))</x:f>
      </x:c>
      <x:c r="BI103" s="8" t="str">
        <x:f>IF(AK103="","",IF(AK103="Very poor",1,IF(AK103="Poor",2,IF(AK103="Average",3,IF(AK103="Good",4,IF(AK103="Very good",5,""))))))</x:f>
      </x:c>
      <x:c r="BJ103" s="8" t="str">
        <x:f>IF(AT103="","",IF(AT103="Very poor",1,IF(AT103="Poor",2,IF(AT103="Average",3,IF(AT103="Good",4,IF(AT103="Very good",5,""))))))</x:f>
      </x:c>
      <x:c r="BK103" s="8"/>
    </x:row>
    <x:row r="104"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  <x:c r="AA104" s="8"/>
      <x:c r="AB104" s="8"/>
      <x:c r="AC104" s="8"/>
      <x:c r="AD104" s="8"/>
      <x:c r="AE104" s="8"/>
      <x:c r="AF104" s="8"/>
      <x:c r="AG104" s="8"/>
      <x:c r="AH104" s="8"/>
      <x:c r="AI104" s="8"/>
      <x:c r="AJ104" s="8"/>
      <x:c r="AK104" s="8"/>
      <x:c r="AL104" s="8"/>
      <x:c r="AM104" s="8"/>
      <x:c r="AN104" s="8"/>
      <x:c r="AO104" s="8"/>
      <x:c r="AP104" s="8"/>
      <x:c r="AQ104" s="8"/>
      <x:c r="AR104" s="8"/>
      <x:c r="AS104" s="8"/>
      <x:c r="AT104" s="8"/>
      <x:c r="AU104" s="8"/>
      <x:c r="AV104" s="8"/>
      <x:c r="AW104" s="8"/>
      <x:c r="AX104" s="8"/>
      <x:c r="AY104" s="8"/>
      <x:c r="AZ104" s="8" t="str">
        <x:f>IF(G104="","",IF(G104="Very poor",1,IF(G104="Poor",2,IF(G104="Average",3,IF(G104="Good",4,IF(G104="Very good",5,""))))))</x:f>
      </x:c>
      <x:c r="BA104" s="8" t="str">
        <x:f>IF(I104="","",IF(I104="Very poor",1,IF(I104="Poor",2,IF(I104="Average",3,IF(I104="Good",4,IF(I104="Very good",5,""))))))</x:f>
      </x:c>
      <x:c r="BB104" s="8" t="str">
        <x:f>IF(J104="","",IF(J104="Very poor",1,IF(J104="Poor",2,IF(J104="Average",3,IF(J104="Good",4,IF(J104="Very good",5,""))))))</x:f>
      </x:c>
      <x:c r="BC104" s="8" t="str">
        <x:f>IF(Q104="","",IF(Q104="Very poor",1,IF(Q104="Poor",2,IF(Q104="Average",3,IF(Q104="Effective",4,IF(Q104="Very effective",5,""))))))</x:f>
      </x:c>
      <x:c r="BD104" s="8" t="str">
        <x:f>IF(S104="","",IF(S104="Never",1,IF(S104="Rarely",2,IF(S104="Sometimes",3,IF(S104="Often",4,IF(S104="Always",5,""))))))</x:f>
      </x:c>
      <x:c r="BE104" s="8" t="str">
        <x:f>IF(U104="","",IF(U104="Very poor",1,IF(U104="Poor",2,IF(U104="Average",3,IF(U104="Good",4,IF(U104="Very good",5,""))))))</x:f>
      </x:c>
      <x:c r="BF104" s="8" t="str">
        <x:f>IF(V104="","",IF(V104="Very poor",1,IF(V104="Poor",2,IF(V104="Average",3,IF(V104="Good",4,IF(V104="Very good",5,""))))))</x:f>
      </x:c>
      <x:c r="BG104" s="8" t="str">
        <x:f>IF(AB104="","",IF(AB104="Never",1,IF(AB104="Rarely",2,IF(AB104="Sometimes",3,IF(AB104="Often",4,IF(AB104="Always",5,""))))))</x:f>
      </x:c>
      <x:c r="BH104" s="8" t="str">
        <x:f>IF(AF104="","",IF(AF104="Very poor",1,IF(AF104="Poor",2,IF(AF104="Average",3,IF(AF104="Good",4,IF(AF104="Very good",5,""))))))</x:f>
      </x:c>
      <x:c r="BI104" s="8" t="str">
        <x:f>IF(AK104="","",IF(AK104="Very poor",1,IF(AK104="Poor",2,IF(AK104="Average",3,IF(AK104="Good",4,IF(AK104="Very good",5,""))))))</x:f>
      </x:c>
      <x:c r="BJ104" s="8" t="str">
        <x:f>IF(AT104="","",IF(AT104="Very poor",1,IF(AT104="Poor",2,IF(AT104="Average",3,IF(AT104="Good",4,IF(AT104="Very good",5,""))))))</x:f>
      </x:c>
      <x:c r="BK104" s="8"/>
    </x:row>
    <x:row r="105"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  <x:c r="AA105" s="8"/>
      <x:c r="AB105" s="8"/>
      <x:c r="AC105" s="8"/>
      <x:c r="AD105" s="8"/>
      <x:c r="AE105" s="8"/>
      <x:c r="AF105" s="8"/>
      <x:c r="AG105" s="8"/>
      <x:c r="AH105" s="8"/>
      <x:c r="AI105" s="8"/>
      <x:c r="AJ105" s="8"/>
      <x:c r="AK105" s="8"/>
      <x:c r="AL105" s="8"/>
      <x:c r="AM105" s="8"/>
      <x:c r="AN105" s="8"/>
      <x:c r="AO105" s="8"/>
      <x:c r="AP105" s="8"/>
      <x:c r="AQ105" s="8"/>
      <x:c r="AR105" s="8"/>
      <x:c r="AS105" s="8"/>
      <x:c r="AT105" s="8"/>
      <x:c r="AU105" s="8"/>
      <x:c r="AV105" s="8"/>
      <x:c r="AW105" s="8"/>
      <x:c r="AX105" s="8"/>
      <x:c r="AY105" s="8"/>
      <x:c r="AZ105" s="8" t="str">
        <x:f>IF(G105="","",IF(G105="Very poor",1,IF(G105="Poor",2,IF(G105="Average",3,IF(G105="Good",4,IF(G105="Very good",5,""))))))</x:f>
      </x:c>
      <x:c r="BA105" s="8" t="str">
        <x:f>IF(I105="","",IF(I105="Very poor",1,IF(I105="Poor",2,IF(I105="Average",3,IF(I105="Good",4,IF(I105="Very good",5,""))))))</x:f>
      </x:c>
      <x:c r="BB105" s="8" t="str">
        <x:f>IF(J105="","",IF(J105="Very poor",1,IF(J105="Poor",2,IF(J105="Average",3,IF(J105="Good",4,IF(J105="Very good",5,""))))))</x:f>
      </x:c>
      <x:c r="BC105" s="8" t="str">
        <x:f>IF(Q105="","",IF(Q105="Very poor",1,IF(Q105="Poor",2,IF(Q105="Average",3,IF(Q105="Effective",4,IF(Q105="Very effective",5,""))))))</x:f>
      </x:c>
      <x:c r="BD105" s="8" t="str">
        <x:f>IF(S105="","",IF(S105="Never",1,IF(S105="Rarely",2,IF(S105="Sometimes",3,IF(S105="Often",4,IF(S105="Always",5,""))))))</x:f>
      </x:c>
      <x:c r="BE105" s="8" t="str">
        <x:f>IF(U105="","",IF(U105="Very poor",1,IF(U105="Poor",2,IF(U105="Average",3,IF(U105="Good",4,IF(U105="Very good",5,""))))))</x:f>
      </x:c>
      <x:c r="BF105" s="8" t="str">
        <x:f>IF(V105="","",IF(V105="Very poor",1,IF(V105="Poor",2,IF(V105="Average",3,IF(V105="Good",4,IF(V105="Very good",5,""))))))</x:f>
      </x:c>
      <x:c r="BG105" s="8" t="str">
        <x:f>IF(AB105="","",IF(AB105="Never",1,IF(AB105="Rarely",2,IF(AB105="Sometimes",3,IF(AB105="Often",4,IF(AB105="Always",5,""))))))</x:f>
      </x:c>
      <x:c r="BH105" s="8" t="str">
        <x:f>IF(AF105="","",IF(AF105="Very poor",1,IF(AF105="Poor",2,IF(AF105="Average",3,IF(AF105="Good",4,IF(AF105="Very good",5,""))))))</x:f>
      </x:c>
      <x:c r="BI105" s="8" t="str">
        <x:f>IF(AK105="","",IF(AK105="Very poor",1,IF(AK105="Poor",2,IF(AK105="Average",3,IF(AK105="Good",4,IF(AK105="Very good",5,""))))))</x:f>
      </x:c>
      <x:c r="BJ105" s="8" t="str">
        <x:f>IF(AT105="","",IF(AT105="Very poor",1,IF(AT105="Poor",2,IF(AT105="Average",3,IF(AT105="Good",4,IF(AT105="Very good",5,""))))))</x:f>
      </x:c>
      <x:c r="BK105" s="8"/>
    </x:row>
  </x:sheetData>
  <x:dataValidations count="1">
    <x:dataValidation type="list" sqref="B28:B105">
      <x:formula1>"Actual,Synthetic"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5" hidden="0" customWidth="1"/>
    <x:col min="3" max="3" width="70" hidden="0" customWidth="1"/>
  </x:cols>
  <x:sheetData>
    <x:row r="1">
      <x:c r="A1" s="10" t="str">
        <x:v>Field</x:v>
      </x:c>
      <x:c r="B1" s="10" t="str">
        <x:v>Definition or coding</x:v>
      </x:c>
      <x:c r="C1" s="10" t="str">
        <x:v>Use</x:v>
      </x:c>
    </x:row>
    <x:row r="2" ht="21" customHeight="1">
      <x:c r="A2" t="str">
        <x:v>Case ID</x:v>
      </x:c>
      <x:c r="B2" t="str">
        <x:v>Unique identifier such as REAL-01</x:v>
      </x:c>
      <x:c r="C2" t="str">
        <x:v>Never use names here</x:v>
      </x:c>
    </x:row>
    <x:row r="3" ht="21" customHeight="1">
      <x:c r="A3" t="str">
        <x:v>Record status</x:v>
      </x:c>
      <x:c r="B3" t="str">
        <x:v>Synthetic or Actual</x:v>
      </x:c>
      <x:c r="C3" t="str">
        <x:v>Only Actual counts are reportable</x:v>
      </x:c>
    </x:row>
    <x:row r="4" ht="21" customHeight="1">
      <x:c r="A4" t="str">
        <x:v>Q1</x:v>
      </x:c>
      <x:c r="B4" t="str">
        <x:v>What is your role in/around the FBS Building?</x:v>
      </x:c>
      <x:c r="C4" t="str">
        <x:v>Options: Student / Faculty / Staff / Visitor / Maintenance / Other</x:v>
      </x:c>
    </x:row>
    <x:row r="5" ht="21" customHeight="1">
      <x:c r="A5" t="str">
        <x:v>Q2</x:v>
      </x:c>
      <x:c r="B5" t="str">
        <x:v>How frequently do you use the FBS Building?</x:v>
      </x:c>
      <x:c r="C5" t="str">
        <x:v>Options: Daily / Several times a week / Occasionally</x:v>
      </x:c>
    </x:row>
    <x:row r="6" ht="21" customHeight="1">
      <x:c r="A6" t="str">
        <x:v>Q3</x:v>
      </x:c>
      <x:c r="B6" t="str">
        <x:v>Approximately how long do you usually stay in the building?</x:v>
      </x:c>
      <x:c r="C6" t="str">
        <x:v>Open text; review thematically</x:v>
      </x:c>
    </x:row>
    <x:row r="7" ht="21" customHeight="1">
      <x:c r="A7" t="str">
        <x:v>Q4</x:v>
      </x:c>
      <x:c r="B7" t="str">
        <x:v>Which part of the building do you use most frequently?</x:v>
      </x:c>
      <x:c r="C7" t="str">
        <x:v>Options: Classroom / Office / Laboratory / Corridor / Cafeteria / Other</x:v>
      </x:c>
    </x:row>
    <x:row r="8" ht="21" customHeight="1">
      <x:c r="A8" t="str">
        <x:v>Q5</x:v>
      </x:c>
      <x:c r="B8" t="str">
        <x:v>How would you rate the ventilation and air circulation inside the building?</x:v>
      </x:c>
      <x:c r="C8" t="str">
        <x:v>Options: Very good / Good / Average / Poor / Very poor</x:v>
      </x:c>
    </x:row>
    <x:row r="9" ht="21" customHeight="1">
      <x:c r="A9" t="str">
        <x:v>Q6</x:v>
      </x:c>
      <x:c r="B9" t="str">
        <x:v>Do you notice inadequate ventilation, stuffiness, or unpleasant odors inside the building? If yes, where?</x:v>
      </x:c>
      <x:c r="C9" t="str">
        <x:v>Open text; review thematically</x:v>
      </x:c>
    </x:row>
    <x:row r="10" ht="21" customHeight="1">
      <x:c r="A10" t="str">
        <x:v>Q7</x:v>
      </x:c>
      <x:c r="B10" t="str">
        <x:v>How would you rate the indoor temperature/thermal comfort?</x:v>
      </x:c>
      <x:c r="C10" t="str">
        <x:v>Options: Very good / Good / Average / Poor / Very poor</x:v>
      </x:c>
    </x:row>
    <x:row r="11" ht="21" customHeight="1">
      <x:c r="A11" t="str">
        <x:v>Q8</x:v>
      </x:c>
      <x:c r="B11" t="str">
        <x:v>How would you rate the natural lighting inside classrooms, offices, and common areas?</x:v>
      </x:c>
      <x:c r="C11" t="str">
        <x:v>Options: Very good / Good / Average / Poor / Very poor</x:v>
      </x:c>
    </x:row>
    <x:row r="12" ht="21" customHeight="1">
      <x:c r="A12" t="str">
        <x:v>Q9</x:v>
      </x:c>
      <x:c r="B12" t="str">
        <x:v>Is artificial lighting adequate for normal activities?</x:v>
      </x:c>
      <x:c r="C12" t="str">
        <x:v>Options: Yes / No / Somewhat</x:v>
      </x:c>
    </x:row>
    <x:row r="13" ht="21" customHeight="1">
      <x:c r="A13" t="str">
        <x:v>Q10</x:v>
      </x:c>
      <x:c r="B13" t="str">
        <x:v>Do you experience excessive noise inside or around the building? If yes, what are the main sources?</x:v>
      </x:c>
      <x:c r="C13" t="str">
        <x:v>Open text; review thematically</x:v>
      </x:c>
    </x:row>
    <x:row r="14" ht="21" customHeight="1">
      <x:c r="A14" t="str">
        <x:v>Q11</x:v>
      </x:c>
      <x:c r="B14" t="str">
        <x:v>Have you noticed indoor air pollution from dust, smoke, construction, generators, vehicles, or other sources?</x:v>
      </x:c>
      <x:c r="C14" t="str">
        <x:v>Open text; review thematically</x:v>
      </x:c>
    </x:row>
    <x:row r="15" ht="21" customHeight="1">
      <x:c r="A15" t="str">
        <x:v>Q12</x:v>
      </x:c>
      <x:c r="B15" t="str">
        <x:v>Are there any areas where indoor environmental conditions should be improved?</x:v>
      </x:c>
      <x:c r="C15" t="str">
        <x:v>Open text; review thematically</x:v>
      </x:c>
    </x:row>
    <x:row r="16" ht="21" customHeight="1">
      <x:c r="A16" t="str">
        <x:v>Q13</x:v>
      </x:c>
      <x:c r="B16" t="str">
        <x:v>Are sufficient waste bins available in the building and its surrounding areas?</x:v>
      </x:c>
      <x:c r="C16" t="str">
        <x:v>Options: Yes / No / Somewhat</x:v>
      </x:c>
    </x:row>
    <x:row r="17" ht="21" customHeight="1">
      <x:c r="A17" t="str">
        <x:v>Q14</x:v>
      </x:c>
      <x:c r="B17" t="str">
        <x:v>Are waste bins properly labeled or separated for different types of waste?</x:v>
      </x:c>
      <x:c r="C17" t="str">
        <x:v>Options: Yes / No / Somewhat</x:v>
      </x:c>
    </x:row>
    <x:row r="18" ht="21" customHeight="1">
      <x:c r="A18" t="str">
        <x:v>Q15</x:v>
      </x:c>
      <x:c r="B18" t="str">
        <x:v>How effective is waste segregation in practice?</x:v>
      </x:c>
      <x:c r="C18" t="str">
        <x:v>Options: Very effective / Effective / Average / Poor / Very poor</x:v>
      </x:c>
    </x:row>
    <x:row r="19" ht="21" customHeight="1">
      <x:c r="A19" t="str">
        <x:v>Q16</x:v>
      </x:c>
      <x:c r="B19" t="str">
        <x:v>What types of waste do you most commonly observe?</x:v>
      </x:c>
      <x:c r="C19" t="str">
        <x:v>Options: Paper / Plastic / Food waste / E-waste / Other</x:v>
      </x:c>
    </x:row>
    <x:row r="20" ht="21" customHeight="1">
      <x:c r="A20" t="str">
        <x:v>Q17</x:v>
      </x:c>
      <x:c r="B20" t="str">
        <x:v>How often do you notice overflowing bins, littering, or improperly disposed waste?</x:v>
      </x:c>
      <x:c r="C20" t="str">
        <x:v>Options: Never / Rarely / Sometimes / Often / Always</x:v>
      </x:c>
    </x:row>
    <x:row r="21" ht="21" customHeight="1">
      <x:c r="A21" t="str">
        <x:v>Q18</x:v>
      </x:c>
      <x:c r="B21" t="str">
        <x:v>What improvements would you suggest for solid-waste management in the FBS Building?</x:v>
      </x:c>
      <x:c r="C21" t="str">
        <x:v>Open text; review thematically</x:v>
      </x:c>
    </x:row>
    <x:row r="22" ht="21" customHeight="1">
      <x:c r="A22" t="str">
        <x:v>Q19</x:v>
      </x:c>
      <x:c r="B22" t="str">
        <x:v>How would you rate the availability of clean water for drinking and other uses?</x:v>
      </x:c>
      <x:c r="C22" t="str">
        <x:v>Options: Very good / Good / Average / Poor / Very poor</x:v>
      </x:c>
    </x:row>
    <x:row r="23" ht="21" customHeight="1">
      <x:c r="A23" t="str">
        <x:v>Q20</x:v>
      </x:c>
      <x:c r="B23" t="str">
        <x:v>How would you rate the cleanliness and condition of toilets/washrooms?</x:v>
      </x:c>
      <x:c r="C23" t="str">
        <x:v>Options: Very good / Good / Average / Poor / Very poor</x:v>
      </x:c>
    </x:row>
    <x:row r="24" ht="21" customHeight="1">
      <x:c r="A24" t="str">
        <x:v>Q21</x:v>
      </x:c>
      <x:c r="B24" t="str">
        <x:v>Do you notice water leakage, wastage, or continuously running taps? If yes, where?</x:v>
      </x:c>
      <x:c r="C24" t="str">
        <x:v>Open text; review thematically</x:v>
      </x:c>
    </x:row>
    <x:row r="25" ht="21" customHeight="1">
      <x:c r="A25" t="str">
        <x:v>Q22</x:v>
      </x:c>
      <x:c r="B25" t="str">
        <x:v>Do you notice drainage problems, waterlogging, or stagnant water around the building?</x:v>
      </x:c>
      <x:c r="C25" t="str">
        <x:v>Open text; review thematically</x:v>
      </x:c>
    </x:row>
    <x:row r="26" ht="21" customHeight="1">
      <x:c r="A26" t="str">
        <x:v>Q23</x:v>
      </x:c>
      <x:c r="B26" t="str">
        <x:v>Are hand-washing facilities and soap adequately available?</x:v>
      </x:c>
      <x:c r="C26" t="str">
        <x:v>Options: Yes / No / Somewhat</x:v>
      </x:c>
    </x:row>
    <x:row r="27" ht="21" customHeight="1">
      <x:c r="A27" t="str">
        <x:v>Q24</x:v>
      </x:c>
      <x:c r="B27" t="str">
        <x:v>What water or sanitation-related environmental problems have you observed?</x:v>
      </x:c>
      <x:c r="C27" t="str">
        <x:v>Open text; review thematically</x:v>
      </x:c>
    </x:row>
    <x:row r="28" ht="21" customHeight="1">
      <x:c r="A28" t="str">
        <x:v>Q25</x:v>
      </x:c>
      <x:c r="B28" t="str">
        <x:v>Do you think electricity is used efficiently in the building?</x:v>
      </x:c>
      <x:c r="C28" t="str">
        <x:v>Options: Yes / No / Somewhat</x:v>
      </x:c>
    </x:row>
    <x:row r="29" ht="21" customHeight="1">
      <x:c r="A29" t="str">
        <x:v>Q26</x:v>
      </x:c>
      <x:c r="B29" t="str">
        <x:v>Do you commonly observe lights, fans, air conditioners, computers, or other equipment being left on unnecessarily?</x:v>
      </x:c>
      <x:c r="C29" t="str">
        <x:v>Options: Never / Rarely / Sometimes / Often / Always</x:v>
      </x:c>
    </x:row>
    <x:row r="30" ht="21" customHeight="1">
      <x:c r="A30" t="str">
        <x:v>Q27</x:v>
      </x:c>
      <x:c r="B30" t="str">
        <x:v>Are there measures such as energy-efficient lighting, sensors, or natural ventilation that you have noticed?</x:v>
      </x:c>
      <x:c r="C30" t="str">
        <x:v>Open text; review thematically</x:v>
      </x:c>
    </x:row>
    <x:row r="31" ht="21" customHeight="1">
      <x:c r="A31" t="str">
        <x:v>Q28</x:v>
      </x:c>
      <x:c r="B31" t="str">
        <x:v>What measures could reduce electricity consumption in the building?</x:v>
      </x:c>
      <x:c r="C31" t="str">
        <x:v>Open text; review thematically</x:v>
      </x:c>
    </x:row>
    <x:row r="32" ht="21" customHeight="1">
      <x:c r="A32" t="str">
        <x:v>Q29</x:v>
      </x:c>
      <x:c r="B32" t="str">
        <x:v>Do you think paper and other office/academic resources are used efficiently? Please explain.</x:v>
      </x:c>
      <x:c r="C32" t="str">
        <x:v>Open text; review thematically</x:v>
      </x:c>
    </x:row>
    <x:row r="33" ht="21" customHeight="1">
      <x:c r="A33" t="str">
        <x:v>Q30</x:v>
      </x:c>
      <x:c r="B33" t="str">
        <x:v>How would you rate the amount and condition of greenery around the FBS Building?</x:v>
      </x:c>
      <x:c r="C33" t="str">
        <x:v>Options: Very good / Good / Average / Poor / Very poor</x:v>
      </x:c>
    </x:row>
    <x:row r="34" ht="21" customHeight="1">
      <x:c r="A34" t="str">
        <x:v>Q31</x:v>
      </x:c>
      <x:c r="B34" t="str">
        <x:v>Are trees, gardens, or landscaped areas adequately maintained?</x:v>
      </x:c>
      <x:c r="C34" t="str">
        <x:v>Options: Yes / No / Somewhat</x:v>
      </x:c>
    </x:row>
    <x:row r="35" ht="21" customHeight="1">
      <x:c r="A35" t="str">
        <x:v>Q32</x:v>
      </x:c>
      <x:c r="B35" t="str">
        <x:v>Do you observe birds, insects, or other small wildlife around the building?</x:v>
      </x:c>
      <x:c r="C35" t="str">
        <x:v>Options: Yes / No / Rarely</x:v>
      </x:c>
    </x:row>
    <x:row r="36" ht="21" customHeight="1">
      <x:c r="A36" t="str">
        <x:v>Q33</x:v>
      </x:c>
      <x:c r="B36" t="str">
        <x:v>Does the building provide enough shaded or comfortable outdoor space?</x:v>
      </x:c>
      <x:c r="C36" t="str">
        <x:v>Options: Yes / No / Somewhat</x:v>
      </x:c>
    </x:row>
    <x:row r="37" ht="21" customHeight="1">
      <x:c r="A37" t="str">
        <x:v>Q34</x:v>
      </x:c>
      <x:c r="B37" t="str">
        <x:v>What changes could improve greenery, biodiversity, or outdoor environmental quality?</x:v>
      </x:c>
      <x:c r="C37" t="str">
        <x:v>Open text; review thematically</x:v>
      </x:c>
    </x:row>
    <x:row r="38" ht="21" customHeight="1">
      <x:c r="A38" t="str">
        <x:v>Q35</x:v>
      </x:c>
      <x:c r="B38" t="str">
        <x:v>How would you rate the traffic and vehicle movement around the FBS Building?</x:v>
      </x:c>
      <x:c r="C38" t="str">
        <x:v>Options: Very good / Good / Average / Poor / Very poor</x:v>
      </x:c>
    </x:row>
    <x:row r="39" ht="21" customHeight="1">
      <x:c r="A39" t="str">
        <x:v>Q36</x:v>
      </x:c>
      <x:c r="B39" t="str">
        <x:v>Do vehicles create noticeable dust, exhaust fumes, or noise around the building?</x:v>
      </x:c>
      <x:c r="C39" t="str">
        <x:v>Options: Yes / No / Somewhat</x:v>
      </x:c>
    </x:row>
    <x:row r="40" ht="21" customHeight="1">
      <x:c r="A40" t="str">
        <x:v>Q37</x:v>
      </x:c>
      <x:c r="B40" t="str">
        <x:v>Is parking managed in a way that minimizes environmental disturbance?</x:v>
      </x:c>
      <x:c r="C40" t="str">
        <x:v>Options: Yes / No / Somewhat</x:v>
      </x:c>
    </x:row>
    <x:row r="41" ht="21" customHeight="1">
      <x:c r="A41" t="str">
        <x:v>Q38</x:v>
      </x:c>
      <x:c r="B41" t="str">
        <x:v>Are pedestrian pathways safe and convenient?</x:v>
      </x:c>
      <x:c r="C41" t="str">
        <x:v>Options: Yes / No / Somewhat</x:v>
      </x:c>
    </x:row>
    <x:row r="42" ht="21" customHeight="1">
      <x:c r="A42" t="str">
        <x:v>Q39</x:v>
      </x:c>
      <x:c r="B42" t="str">
        <x:v>What transportation-related environmental problems do you observe around the building?</x:v>
      </x:c>
      <x:c r="C42" t="str">
        <x:v>Open text; review thematically</x:v>
      </x:c>
    </x:row>
    <x:row r="43" ht="21" customHeight="1">
      <x:c r="A43" t="str">
        <x:v>Q40</x:v>
      </x:c>
      <x:c r="B43" t="str">
        <x:v>Have you noticed any environmental condition in or around the building that may affect health or comfort?</x:v>
      </x:c>
      <x:c r="C43" t="str">
        <x:v>Open text; review thematically</x:v>
      </x:c>
    </x:row>
    <x:row r="44" ht="21" customHeight="1">
      <x:c r="A44" t="str">
        <x:v>Q41</x:v>
      </x:c>
      <x:c r="B44" t="str">
        <x:v>Are emergency exits, fire-safety equipment, and evacuation routes clearly visible and accessible?</x:v>
      </x:c>
      <x:c r="C44" t="str">
        <x:v>Options: Yes / No / Somewhat</x:v>
      </x:c>
    </x:row>
    <x:row r="45" ht="21" customHeight="1">
      <x:c r="A45" t="str">
        <x:v>Q42</x:v>
      </x:c>
      <x:c r="B45" t="str">
        <x:v>Do you feel the building is adequately prepared for environmental emergencies such as fire, extreme heat, heavy rainfall, or waterlogging?</x:v>
      </x:c>
      <x:c r="C45" t="str">
        <x:v>Options: Yes / No / Somewhat</x:v>
      </x:c>
    </x:row>
    <x:row r="46" ht="21" customHeight="1">
      <x:c r="A46" t="str">
        <x:v>Q43</x:v>
      </x:c>
      <x:c r="B46" t="str">
        <x:v>Have you experienced or observed any environmental incident in the building? If yes, please describe briefly.</x:v>
      </x:c>
      <x:c r="C46" t="str">
        <x:v>Open text; review thematically</x:v>
      </x:c>
    </x:row>
    <x:row r="47" ht="21" customHeight="1">
      <x:c r="A47" t="str">
        <x:v>Q44</x:v>
      </x:c>
      <x:c r="B47" t="str">
        <x:v>Overall, how would you rate the environmental condition of the FBS Building?</x:v>
      </x:c>
      <x:c r="C47" t="str">
        <x:v>Options: Very good / Good / Average / Poor / Very poor</x:v>
      </x:c>
    </x:row>
    <x:row r="48" ht="21" customHeight="1">
      <x:c r="A48" t="str">
        <x:v>Q45</x:v>
      </x:c>
      <x:c r="B48" t="str">
        <x:v>What do you consider the three most important environmental problems associated with the building?</x:v>
      </x:c>
      <x:c r="C48" t="str">
        <x:v>Open text; review thematically</x:v>
      </x:c>
    </x:row>
    <x:row r="49" ht="21" customHeight="1">
      <x:c r="A49" t="str">
        <x:v>Q46</x:v>
      </x:c>
      <x:c r="B49" t="str">
        <x:v>Which environmental issue should be addressed first, in your opinion? Please explain your reason.</x:v>
      </x:c>
      <x:c r="C49" t="str">
        <x:v>Open text; review thematically</x:v>
      </x:c>
    </x:row>
    <x:row r="50" ht="21" customHeight="1">
      <x:c r="A50" t="str">
        <x:v>Q47</x:v>
      </x:c>
      <x:c r="B50" t="str">
        <x:v>What practical measures would you recommend to reduce the building's environmental impacts?</x:v>
      </x:c>
      <x:c r="C50" t="str">
        <x:v>Open text; review thematically</x:v>
      </x:c>
    </x:row>
    <x:row r="51" ht="21" customHeight="1">
      <x:c r="A51" t="str">
        <x:v>Q48</x:v>
      </x:c>
      <x:c r="B51" t="str">
        <x:v>Would you be willing to participate in or support environmental initiatives in the building?</x:v>
      </x:c>
      <x:c r="C51" t="str">
        <x:v>Options: Yes / No / Maybe</x:v>
      </x:c>
    </x:row>
    <x:row r="52" ht="21" customHeight="1">
      <x:c r="A52" t="str">
        <x:v>Q49</x:v>
      </x:c>
      <x:c r="B52" t="str">
        <x:v>Is there any other environmental issue or suggestion you would like to share?</x:v>
      </x:c>
      <x:c r="C52" t="str">
        <x:v>Open text; review thematically</x:v>
      </x:c>
    </x:row>
    <x:row r="53" ht="21" customHeight="1">
      <x:c r="A53" t="str">
        <x:v>Ordinal codes</x:v>
      </x:c>
      <x:c r="B53" t="str">
        <x:v>1 = Very poor, 2 = Poor, 3 = Average, 4 = Good, 5 = Very good</x:v>
      </x:c>
      <x:c r="C53" t="str">
        <x:v>Q5, Q7, Q8, Q19, Q20, Q30, Q35, Q44</x:v>
      </x:c>
    </x:row>
    <x:row r="54" ht="21" customHeight="1">
      <x:c r="A54" t="str">
        <x:v>Segregation code</x:v>
      </x:c>
      <x:c r="B54" t="str">
        <x:v>1 = Very poor, 2 = Poor, 3 = Average, 4 = Effective, 5 = Very effective</x:v>
      </x:c>
      <x:c r="C54" t="str">
        <x:v>Q15</x:v>
      </x:c>
    </x:row>
    <x:row r="55" ht="21" customHeight="1">
      <x:c r="A55" t="str">
        <x:v>Frequency code</x:v>
      </x:c>
      <x:c r="B55" t="str">
        <x:v>1 = Never, 2 = Rarely, 3 = Sometimes, 4 = Often, 5 = Always</x:v>
      </x:c>
      <x:c r="C55" t="str">
        <x:v>Q17, Q26</x:v>
      </x:c>
    </x:row>
    <x:row r="56" ht="21" customHeight="1">
      <x:c r="A56" t="str">
        <x:v>Q16</x:v>
      </x:c>
      <x:c r="B56" t="str">
        <x:v>May have multiple selected waste types</x:v>
      </x:c>
      <x:c r="C56" t="str">
        <x:v>The category counts can sum above N</x:v>
      </x:c>
    </x:row>
    <x:row r="57" ht="21" customHeight="1">
      <x:c r="A57" t="str">
        <x:v>Analysis limits</x:v>
      </x:c>
      <x:c r="B57" t="str">
        <x:v>Code numbers preserve order only; interpret category counts and proportions first</x:v>
      </x:c>
      <x:c r="C57" t="str">
        <x:v>No inferential test or causal claim from these examples</x:v>
      </x:c>
    </x:row>
  </x:sheetData>
  <x:pageMargins left="0.7" right="0.7" top="0.75" bottom="0.75" header="0.3" footer="0.3"/>
</x:worksheet>
</file>